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ht\Downloads\Rental\"/>
    </mc:Choice>
  </mc:AlternateContent>
  <bookViews>
    <workbookView minimized="1" xWindow="0" yWindow="0" windowWidth="23040" windowHeight="9072" activeTab="1"/>
  </bookViews>
  <sheets>
    <sheet name="📊 Overview" sheetId="1" r:id="rId1"/>
    <sheet name="Sheet1" sheetId="9" r:id="rId2"/>
    <sheet name="📅 Timeline" sheetId="2" r:id="rId3"/>
    <sheet name="🗄️ Phase 1 Database" sheetId="3" r:id="rId4"/>
    <sheet name="⚙️ Phase 2 Backend" sheetId="4" r:id="rId5"/>
    <sheet name="🎨 Phase 3 Frontend" sheetId="5" r:id="rId6"/>
    <sheet name="🧪 Phase 4 Testing" sheetId="6" r:id="rId7"/>
    <sheet name="🚀 Phase 5 Deployment" sheetId="7" r:id="rId8"/>
    <sheet name="💰 Resources &amp; Budget" sheetId="8" r:id="rId9"/>
  </sheets>
  <calcPr calcId="162913"/>
</workbook>
</file>

<file path=xl/calcChain.xml><?xml version="1.0" encoding="utf-8"?>
<calcChain xmlns="http://schemas.openxmlformats.org/spreadsheetml/2006/main">
  <c r="E22" i="8" l="1"/>
  <c r="E21" i="8"/>
  <c r="E20" i="8"/>
  <c r="E19" i="8"/>
  <c r="E18" i="8"/>
  <c r="E17" i="8"/>
  <c r="E23" i="8" s="1"/>
  <c r="E16" i="8"/>
  <c r="E15" i="8"/>
  <c r="E10" i="8"/>
  <c r="E9" i="8"/>
  <c r="E8" i="8"/>
  <c r="E7" i="8"/>
  <c r="E6" i="8"/>
  <c r="E5" i="8"/>
  <c r="E11" i="8" s="1"/>
  <c r="E24" i="1"/>
  <c r="E23" i="1"/>
  <c r="E22" i="1"/>
  <c r="E21" i="1"/>
  <c r="E20" i="1"/>
  <c r="B30" i="8" l="1"/>
  <c r="C31" i="8" s="1"/>
  <c r="B33" i="8" s="1"/>
  <c r="B37" i="8" s="1"/>
  <c r="B39" i="8" s="1"/>
</calcChain>
</file>

<file path=xl/sharedStrings.xml><?xml version="1.0" encoding="utf-8"?>
<sst xmlns="http://schemas.openxmlformats.org/spreadsheetml/2006/main" count="1395" uniqueCount="762">
  <si>
    <t>CAR RENTAL MANAGEMENT SYSTEM</t>
  </si>
  <si>
    <t>Development Roadmap &amp; Checklist</t>
  </si>
  <si>
    <t>Created: 2025-11-18</t>
  </si>
  <si>
    <t>PROJECT INFORMATION</t>
  </si>
  <si>
    <t>Total Tables:</t>
  </si>
  <si>
    <t>35 tables</t>
  </si>
  <si>
    <t>Full Premium Edition</t>
  </si>
  <si>
    <t>Total Phases:</t>
  </si>
  <si>
    <t>5 phases</t>
  </si>
  <si>
    <t>16 weeks</t>
  </si>
  <si>
    <t>Core Business:</t>
  </si>
  <si>
    <t>20 tables</t>
  </si>
  <si>
    <t>Week 1-4</t>
  </si>
  <si>
    <t>SEO &amp; Content:</t>
  </si>
  <si>
    <t>5 tables</t>
  </si>
  <si>
    <t>Week 5-6</t>
  </si>
  <si>
    <t>Marketing &amp; CRM:</t>
  </si>
  <si>
    <t>6 tables</t>
  </si>
  <si>
    <t>Week 7-10</t>
  </si>
  <si>
    <t>Enterprise:</t>
  </si>
  <si>
    <t>Week 11-14</t>
  </si>
  <si>
    <t>Testing &amp; Deploy:</t>
  </si>
  <si>
    <t>All</t>
  </si>
  <si>
    <t>Week 15-16</t>
  </si>
  <si>
    <t>Estimated Budget:</t>
  </si>
  <si>
    <t>500M - 1B VND</t>
  </si>
  <si>
    <t>Team Size:</t>
  </si>
  <si>
    <t>3-5 people</t>
  </si>
  <si>
    <t>Full-stack developers</t>
  </si>
  <si>
    <t>Target Revenue:</t>
  </si>
  <si>
    <t>400-600M VND</t>
  </si>
  <si>
    <t>Product sale price</t>
  </si>
  <si>
    <t>OVERALL PROGRESS</t>
  </si>
  <si>
    <t>Phase</t>
  </si>
  <si>
    <t>Status</t>
  </si>
  <si>
    <t>Tasks</t>
  </si>
  <si>
    <t>Completed</t>
  </si>
  <si>
    <t>Progress %</t>
  </si>
  <si>
    <t>Duration</t>
  </si>
  <si>
    <t>Phase 1: Database</t>
  </si>
  <si>
    <t>Not Started</t>
  </si>
  <si>
    <t>4 weeks</t>
  </si>
  <si>
    <t>Phase 2: Backend API</t>
  </si>
  <si>
    <t>Phase 3: Frontend</t>
  </si>
  <si>
    <t>Phase 4: Testing</t>
  </si>
  <si>
    <t>1 week</t>
  </si>
  <si>
    <t>Phase 5: Deployment</t>
  </si>
  <si>
    <t>PROJECT TIMELINE - 16 WEEKS</t>
  </si>
  <si>
    <t>Week</t>
  </si>
  <si>
    <t>Dates</t>
  </si>
  <si>
    <t>Focus Area</t>
  </si>
  <si>
    <t>Key Deliverables</t>
  </si>
  <si>
    <t>Week 1</t>
  </si>
  <si>
    <t>11/18 - 11/24</t>
  </si>
  <si>
    <t>Phase 1</t>
  </si>
  <si>
    <t>Database Design</t>
  </si>
  <si>
    <t>ERD Review, SQL Scripts for Core tables</t>
  </si>
  <si>
    <t>☐</t>
  </si>
  <si>
    <t>Week 2</t>
  </si>
  <si>
    <t>11/25 - 12/01</t>
  </si>
  <si>
    <t>Database Creation</t>
  </si>
  <si>
    <t>Create DB, Indexes, Sample Data</t>
  </si>
  <si>
    <t>Week 3</t>
  </si>
  <si>
    <t>12/02 - 12/08</t>
  </si>
  <si>
    <t>SEO Tables</t>
  </si>
  <si>
    <t>Blog, Page, Review tables</t>
  </si>
  <si>
    <t>Week 4</t>
  </si>
  <si>
    <t>12/09 - 12/15</t>
  </si>
  <si>
    <t>Advanced Tables</t>
  </si>
  <si>
    <t>Marketing, CRM, Enterprise tables</t>
  </si>
  <si>
    <t>Week 5</t>
  </si>
  <si>
    <t>12/16 - 12/22</t>
  </si>
  <si>
    <t>Phase 2</t>
  </si>
  <si>
    <t>API Setup</t>
  </si>
  <si>
    <t>Project setup, Auth, Core CRUD</t>
  </si>
  <si>
    <t>Week 6</t>
  </si>
  <si>
    <t>12/23 - 12/29</t>
  </si>
  <si>
    <t>Business Logic</t>
  </si>
  <si>
    <t>Booking flow, Payment integration</t>
  </si>
  <si>
    <t>Week 7</t>
  </si>
  <si>
    <t>12/30 - 01/05</t>
  </si>
  <si>
    <t>SEO APIs</t>
  </si>
  <si>
    <t>Blog, Review, SEO endpoints</t>
  </si>
  <si>
    <t>Week 8</t>
  </si>
  <si>
    <t>01/06 - 01/12</t>
  </si>
  <si>
    <t>Advanced APIs</t>
  </si>
  <si>
    <t>Marketing, Loyalty, Multi-tenant</t>
  </si>
  <si>
    <t>Week 9</t>
  </si>
  <si>
    <t>01/13 - 01/19</t>
  </si>
  <si>
    <t>Phase 3</t>
  </si>
  <si>
    <t>Admin Dashboard</t>
  </si>
  <si>
    <t>Layout, Vehicle management</t>
  </si>
  <si>
    <t>Week 10</t>
  </si>
  <si>
    <t>01/20 - 01/26</t>
  </si>
  <si>
    <t>Booking System</t>
  </si>
  <si>
    <t>Customer booking flow</t>
  </si>
  <si>
    <t>Week 11</t>
  </si>
  <si>
    <t>01/27 - 02/02</t>
  </si>
  <si>
    <t>Customer Portal</t>
  </si>
  <si>
    <t>Profile, History, Reviews</t>
  </si>
  <si>
    <t>Week 12</t>
  </si>
  <si>
    <t>02/03 - 02/09</t>
  </si>
  <si>
    <t>Advanced Features</t>
  </si>
  <si>
    <t>Marketing, Loyalty UI</t>
  </si>
  <si>
    <t>Week 13</t>
  </si>
  <si>
    <t>02/10 - 02/16</t>
  </si>
  <si>
    <t>Phase 4</t>
  </si>
  <si>
    <t>Testing</t>
  </si>
  <si>
    <t>Unit tests, Integration tests</t>
  </si>
  <si>
    <t>Week 14</t>
  </si>
  <si>
    <t>02/17 - 02/23</t>
  </si>
  <si>
    <t>E2E tests, Performance tests</t>
  </si>
  <si>
    <t>Week 15</t>
  </si>
  <si>
    <t>02/24 - 03/02</t>
  </si>
  <si>
    <t>Phase 5</t>
  </si>
  <si>
    <t>Deployment</t>
  </si>
  <si>
    <t>Staging deploy, Documentation</t>
  </si>
  <si>
    <t>Week 16</t>
  </si>
  <si>
    <t>03/03 - 03/09</t>
  </si>
  <si>
    <t>Launch</t>
  </si>
  <si>
    <t>Production deploy, Monitoring</t>
  </si>
  <si>
    <t>PHASE 1: DATABASE DEVELOPMENT</t>
  </si>
  <si>
    <t>Duration: 4 weeks | Tables: 35</t>
  </si>
  <si>
    <t>✓</t>
  </si>
  <si>
    <t>Task ID</t>
  </si>
  <si>
    <t>Task Name</t>
  </si>
  <si>
    <t>Description</t>
  </si>
  <si>
    <t>Priority</t>
  </si>
  <si>
    <t>Hours</t>
  </si>
  <si>
    <t>Dependencies</t>
  </si>
  <si>
    <t>Notes</t>
  </si>
  <si>
    <t>DB-001</t>
  </si>
  <si>
    <t>Review ERD</t>
  </si>
  <si>
    <t>Review 35 tables ERD in dbdiagram.io</t>
  </si>
  <si>
    <t>High</t>
  </si>
  <si>
    <t>W1</t>
  </si>
  <si>
    <t>-</t>
  </si>
  <si>
    <t>Use dbdiagram.io</t>
  </si>
  <si>
    <t>DB-002</t>
  </si>
  <si>
    <t>Export SQL</t>
  </si>
  <si>
    <t>Export MySQL/PostgreSQL scripts</t>
  </si>
  <si>
    <t>Choose DB engine</t>
  </si>
  <si>
    <t>DB-003</t>
  </si>
  <si>
    <t>Create Database</t>
  </si>
  <si>
    <t>CREATE DATABASE car_rental_db</t>
  </si>
  <si>
    <t>Setup credentials</t>
  </si>
  <si>
    <t>DB-004</t>
  </si>
  <si>
    <t>Core Tables (20)</t>
  </si>
  <si>
    <t>Create 20 core business tables</t>
  </si>
  <si>
    <t>Vehicle, Customer, Booking...</t>
  </si>
  <si>
    <t>DB-005</t>
  </si>
  <si>
    <t>Primary Keys</t>
  </si>
  <si>
    <t>Add all PRIMARY KEY constraints</t>
  </si>
  <si>
    <t>Check uniqueness</t>
  </si>
  <si>
    <t>DB-006</t>
  </si>
  <si>
    <t>Foreign Keys</t>
  </si>
  <si>
    <t>Add all FOREIGN KEY constraints</t>
  </si>
  <si>
    <t>Test relationships</t>
  </si>
  <si>
    <t>DB-007</t>
  </si>
  <si>
    <t>Indexes - Basic</t>
  </si>
  <si>
    <t>Create indexes for frequently queried columns</t>
  </si>
  <si>
    <t>W2</t>
  </si>
  <si>
    <t>CustomerID, VehicleID, BookingID</t>
  </si>
  <si>
    <t>DB-008</t>
  </si>
  <si>
    <t>Indexes - SEO</t>
  </si>
  <si>
    <t>Create indexes for Slug columns</t>
  </si>
  <si>
    <t>Medium</t>
  </si>
  <si>
    <t>Vehicle.Slug, BlogPost.Slug</t>
  </si>
  <si>
    <t>DB-009</t>
  </si>
  <si>
    <t>Sample Data - Core</t>
  </si>
  <si>
    <t>Insert sample data for core tables</t>
  </si>
  <si>
    <t>10 vehicles, 20 customers</t>
  </si>
  <si>
    <t>DB-010</t>
  </si>
  <si>
    <t>Test Relationships</t>
  </si>
  <si>
    <t>Test all FK relationships work</t>
  </si>
  <si>
    <t>Try INSERT/UPDATE/DELETE</t>
  </si>
  <si>
    <t>DB-011</t>
  </si>
  <si>
    <t>Backup Strategy</t>
  </si>
  <si>
    <t>Setup automated backup</t>
  </si>
  <si>
    <t>Daily backup script</t>
  </si>
  <si>
    <t>DB-012</t>
  </si>
  <si>
    <t>SEO Tables (5)</t>
  </si>
  <si>
    <t>Create BlogPost, BlogCategory, Page, Review, SeoRedirect</t>
  </si>
  <si>
    <t>W3</t>
  </si>
  <si>
    <t>Content marketing tables</t>
  </si>
  <si>
    <t>DB-013</t>
  </si>
  <si>
    <t>Update Vehicle</t>
  </si>
  <si>
    <t>Add SEO fields to Vehicle table</t>
  </si>
  <si>
    <t>Slug, MetaTitle, MetaDescription</t>
  </si>
  <si>
    <t>DB-014</t>
  </si>
  <si>
    <t>Update VehicleCategory</t>
  </si>
  <si>
    <t>Add SEO fields to VehicleCategory</t>
  </si>
  <si>
    <t>Slug, MetaTitle, SeoContent</t>
  </si>
  <si>
    <t>DB-015</t>
  </si>
  <si>
    <t>Update Branch</t>
  </si>
  <si>
    <t>Add Local SEO fields to Branch</t>
  </si>
  <si>
    <t>Latitude, Longitude</t>
  </si>
  <si>
    <t>DB-016</t>
  </si>
  <si>
    <t>Sample Data - SEO</t>
  </si>
  <si>
    <t>Insert sample blogs and reviews</t>
  </si>
  <si>
    <t>20 blog posts, 50 reviews</t>
  </si>
  <si>
    <t>DB-017</t>
  </si>
  <si>
    <t>SEO Indexes</t>
  </si>
  <si>
    <t>Create full-text search indexes</t>
  </si>
  <si>
    <t>BlogPost.Content, Review.Content</t>
  </si>
  <si>
    <t>DB-018</t>
  </si>
  <si>
    <t>Marketing Tables (6)</t>
  </si>
  <si>
    <t>Notification, Template, Segment, Campaign, Loyalty</t>
  </si>
  <si>
    <t>W4</t>
  </si>
  <si>
    <t>CRM features</t>
  </si>
  <si>
    <t>DB-019</t>
  </si>
  <si>
    <t>Enterprise Tables (6)</t>
  </si>
  <si>
    <t>Tenant, Plan, PricingRule, Corporate, Partner, Config</t>
  </si>
  <si>
    <t>Multi-tenant ready</t>
  </si>
  <si>
    <t>DB-020</t>
  </si>
  <si>
    <t>Update Customer</t>
  </si>
  <si>
    <t>Add Loyalty fields to Customer</t>
  </si>
  <si>
    <t>LoyaltyPoints, MembershipTier</t>
  </si>
  <si>
    <t>DB-021</t>
  </si>
  <si>
    <t>Sample Data - All</t>
  </si>
  <si>
    <t>Insert sample data for all tables</t>
  </si>
  <si>
    <t>Complete sample dataset</t>
  </si>
  <si>
    <t>DB-022</t>
  </si>
  <si>
    <t>Views - Reports</t>
  </si>
  <si>
    <t>Create database views for common queries</t>
  </si>
  <si>
    <t>Booking summary, Revenue</t>
  </si>
  <si>
    <t>DB-023</t>
  </si>
  <si>
    <t>Stored Procedures</t>
  </si>
  <si>
    <t>Create SPs for complex operations</t>
  </si>
  <si>
    <t>Low</t>
  </si>
  <si>
    <t>CalculateLoyaltyPoints, etc</t>
  </si>
  <si>
    <t>DB-024</t>
  </si>
  <si>
    <t>Triggers</t>
  </si>
  <si>
    <t>Create triggers for audit logging</t>
  </si>
  <si>
    <t>Auto log changes</t>
  </si>
  <si>
    <t>DB-025</t>
  </si>
  <si>
    <t>Performance Test</t>
  </si>
  <si>
    <t>Test with 10k records</t>
  </si>
  <si>
    <t>Check query performance</t>
  </si>
  <si>
    <t>DB-026</t>
  </si>
  <si>
    <t>DB Documentation</t>
  </si>
  <si>
    <t>Document all tables, relationships</t>
  </si>
  <si>
    <t>ERD + Data dictionary</t>
  </si>
  <si>
    <t>DB-027</t>
  </si>
  <si>
    <t>DB Optimization</t>
  </si>
  <si>
    <t>Optimize slow queries</t>
  </si>
  <si>
    <t>Add indexes, rewrite queries</t>
  </si>
  <si>
    <t>PHASE 2: BACKEND API DEVELOPMENT</t>
  </si>
  <si>
    <t>Duration: 4 weeks | Tech: Node.js/Java/Python</t>
  </si>
  <si>
    <t>BE-001</t>
  </si>
  <si>
    <t>Project Setup</t>
  </si>
  <si>
    <t>Initialize backend project (Node.js/Spring Boot)</t>
  </si>
  <si>
    <t>W5</t>
  </si>
  <si>
    <t>Choose framework</t>
  </si>
  <si>
    <t>BE-002</t>
  </si>
  <si>
    <t>Database Connection</t>
  </si>
  <si>
    <t>Setup DB connection pool</t>
  </si>
  <si>
    <t>Test connection</t>
  </si>
  <si>
    <t>BE-003</t>
  </si>
  <si>
    <t>ORM Setup</t>
  </si>
  <si>
    <t>Configure ORM (Sequelize/Hibernate/SQLAlchemy)</t>
  </si>
  <si>
    <t>Map all 35 tables</t>
  </si>
  <si>
    <t>BE-004</t>
  </si>
  <si>
    <t>Models - Core</t>
  </si>
  <si>
    <t>Create models for 20 core tables</t>
  </si>
  <si>
    <t>Vehicle, Customer, Booking</t>
  </si>
  <si>
    <t>BE-005</t>
  </si>
  <si>
    <t>Auth System</t>
  </si>
  <si>
    <t>JWT authentication, password hashing</t>
  </si>
  <si>
    <t>bcrypt, jsonwebtoken</t>
  </si>
  <si>
    <t>BE-006</t>
  </si>
  <si>
    <t>RBAC</t>
  </si>
  <si>
    <t>Role-based access control (Admin/Staff/Customer)</t>
  </si>
  <si>
    <t>Middleware</t>
  </si>
  <si>
    <t>BE-007</t>
  </si>
  <si>
    <t>API - Vehicle</t>
  </si>
  <si>
    <t>CRUD endpoints for Vehicle</t>
  </si>
  <si>
    <t>GET, POST, PUT, DELETE</t>
  </si>
  <si>
    <t>BE-008</t>
  </si>
  <si>
    <t>API - Customer</t>
  </si>
  <si>
    <t>CRUD endpoints for Customer</t>
  </si>
  <si>
    <t>With validation</t>
  </si>
  <si>
    <t>BE-009</t>
  </si>
  <si>
    <t>API - Booking</t>
  </si>
  <si>
    <t>Booking endpoints (create, update, cancel)</t>
  </si>
  <si>
    <t>W6</t>
  </si>
  <si>
    <t>Complex business logic</t>
  </si>
  <si>
    <t>BE-010</t>
  </si>
  <si>
    <t>Booking Validation</t>
  </si>
  <si>
    <t>Check vehicle availability</t>
  </si>
  <si>
    <t>Date overlap check</t>
  </si>
  <si>
    <t>BE-011</t>
  </si>
  <si>
    <t>API - Invoice</t>
  </si>
  <si>
    <t>Invoice generation endpoints</t>
  </si>
  <si>
    <t>Calculate total</t>
  </si>
  <si>
    <t>BE-012</t>
  </si>
  <si>
    <t>API - Payment</t>
  </si>
  <si>
    <t>Payment processing endpoints</t>
  </si>
  <si>
    <t>Multiple methods</t>
  </si>
  <si>
    <t>BE-013</t>
  </si>
  <si>
    <t>Payment Gateway</t>
  </si>
  <si>
    <t>Integrate Stripe/PayPal/VNPay</t>
  </si>
  <si>
    <t>Sandbox testing</t>
  </si>
  <si>
    <t>BE-014</t>
  </si>
  <si>
    <t>API - Surcharge</t>
  </si>
  <si>
    <t>Surcharge calculation endpoints</t>
  </si>
  <si>
    <t>Late return, damage</t>
  </si>
  <si>
    <t>BE-015</t>
  </si>
  <si>
    <t>API - Promotion</t>
  </si>
  <si>
    <t>Apply discount code</t>
  </si>
  <si>
    <t>Validate expiry</t>
  </si>
  <si>
    <t>BE-016</t>
  </si>
  <si>
    <t>Email Service</t>
  </si>
  <si>
    <t>Setup email service (SendGrid/SES)</t>
  </si>
  <si>
    <t>Booking confirmation</t>
  </si>
  <si>
    <t>BE-017</t>
  </si>
  <si>
    <t>Models - SEO</t>
  </si>
  <si>
    <t>Create models for 5 SEO tables</t>
  </si>
  <si>
    <t>W7</t>
  </si>
  <si>
    <t>Blog, Review, Page</t>
  </si>
  <si>
    <t>BE-018</t>
  </si>
  <si>
    <t>API - Blog</t>
  </si>
  <si>
    <t>Blog CRUD endpoints</t>
  </si>
  <si>
    <t>Rich text editor support</t>
  </si>
  <si>
    <t>BE-019</t>
  </si>
  <si>
    <t>API - Review</t>
  </si>
  <si>
    <t>Review submission, approval</t>
  </si>
  <si>
    <t>Rating calculation</t>
  </si>
  <si>
    <t>BE-020</t>
  </si>
  <si>
    <t>API - Page</t>
  </si>
  <si>
    <t>Static pages endpoints</t>
  </si>
  <si>
    <t>FAQ, About, Contact</t>
  </si>
  <si>
    <t>BE-021</t>
  </si>
  <si>
    <t>SEO URLs</t>
  </si>
  <si>
    <t>Slug generation, uniqueness check</t>
  </si>
  <si>
    <t>Auto-generate from title</t>
  </si>
  <si>
    <t>BE-022</t>
  </si>
  <si>
    <t>Image Upload</t>
  </si>
  <si>
    <t>Setup S3/Cloudinary for images</t>
  </si>
  <si>
    <t>Multiple images</t>
  </si>
  <si>
    <t>BE-023</t>
  </si>
  <si>
    <t>Search API</t>
  </si>
  <si>
    <t>Full-text search for vehicles, blogs</t>
  </si>
  <si>
    <t>Elasticsearch optional</t>
  </si>
  <si>
    <t>BE-024</t>
  </si>
  <si>
    <t>Models - Marketing</t>
  </si>
  <si>
    <t>Create models for 6 marketing tables</t>
  </si>
  <si>
    <t>W8</t>
  </si>
  <si>
    <t>Notification, Loyalty</t>
  </si>
  <si>
    <t>BE-025</t>
  </si>
  <si>
    <t>API - Notification</t>
  </si>
  <si>
    <t>Notification CRUD, mark as read</t>
  </si>
  <si>
    <t>Real-time optional</t>
  </si>
  <si>
    <t>BE-026</t>
  </si>
  <si>
    <t>SMS Service</t>
  </si>
  <si>
    <t>Setup Twilio/AWS SNS</t>
  </si>
  <si>
    <t>Booking SMS</t>
  </si>
  <si>
    <t>BE-027</t>
  </si>
  <si>
    <t>API - Loyalty</t>
  </si>
  <si>
    <t>Loyalty points earn/redeem</t>
  </si>
  <si>
    <t>Transaction history</t>
  </si>
  <si>
    <t>BE-028</t>
  </si>
  <si>
    <t>API - Campaign</t>
  </si>
  <si>
    <t>Marketing campaign endpoints</t>
  </si>
  <si>
    <t>Send to segment</t>
  </si>
  <si>
    <t>BE-029</t>
  </si>
  <si>
    <t>Models - Enterprise</t>
  </si>
  <si>
    <t>Create models for 6 enterprise tables</t>
  </si>
  <si>
    <t>Tenant, Partner</t>
  </si>
  <si>
    <t>BE-030</t>
  </si>
  <si>
    <t>Multi-tenant Logic</t>
  </si>
  <si>
    <t>Isolate data by TenantID</t>
  </si>
  <si>
    <t>Critical for SaaS</t>
  </si>
  <si>
    <t>BE-031</t>
  </si>
  <si>
    <t>API - Pricing Rule</t>
  </si>
  <si>
    <t>Dynamic pricing calculation</t>
  </si>
  <si>
    <t>Weekend, holiday pricing</t>
  </si>
  <si>
    <t>BE-032</t>
  </si>
  <si>
    <t>API Documentation</t>
  </si>
  <si>
    <t>Generate Swagger/OpenAPI docs</t>
  </si>
  <si>
    <t>All endpoints</t>
  </si>
  <si>
    <t>BE-033</t>
  </si>
  <si>
    <t>Error Handling</t>
  </si>
  <si>
    <t>Standardize error responses</t>
  </si>
  <si>
    <t>HTTP status codes</t>
  </si>
  <si>
    <t>BE-034</t>
  </si>
  <si>
    <t>Logging</t>
  </si>
  <si>
    <t>Setup Winston/Log4j</t>
  </si>
  <si>
    <t>Info, error, debug</t>
  </si>
  <si>
    <t>BE-035</t>
  </si>
  <si>
    <t>Rate Limiting</t>
  </si>
  <si>
    <t>Prevent abuse</t>
  </si>
  <si>
    <t>100 req/min per IP</t>
  </si>
  <si>
    <t>BE-036</t>
  </si>
  <si>
    <t>Unit Tests</t>
  </si>
  <si>
    <t>Write tests for all endpoints</t>
  </si>
  <si>
    <t>Jest/JUnit</t>
  </si>
  <si>
    <t>BE-037</t>
  </si>
  <si>
    <t>Integration Tests</t>
  </si>
  <si>
    <t>Test with real DB</t>
  </si>
  <si>
    <t>Test DB setup</t>
  </si>
  <si>
    <t>BE-038</t>
  </si>
  <si>
    <t>API Performance</t>
  </si>
  <si>
    <t>Load testing (100 concurrent users)</t>
  </si>
  <si>
    <t>JMeter/k6</t>
  </si>
  <si>
    <t>PHASE 3: FRONTEND DEVELOPMENT</t>
  </si>
  <si>
    <t>Duration: 4 weeks | Tech: React/Vue/Angular</t>
  </si>
  <si>
    <t>FE-001</t>
  </si>
  <si>
    <t>Create React/Vue project</t>
  </si>
  <si>
    <t>W9</t>
  </si>
  <si>
    <t>CRA or Vite</t>
  </si>
  <si>
    <t>FE-002</t>
  </si>
  <si>
    <t>UI Library</t>
  </si>
  <si>
    <t>Setup Ant Design/Material UI</t>
  </si>
  <si>
    <t>Component library</t>
  </si>
  <si>
    <t>FE-003</t>
  </si>
  <si>
    <t>Routing</t>
  </si>
  <si>
    <t>Setup React Router/Vue Router</t>
  </si>
  <si>
    <t>Protected routes</t>
  </si>
  <si>
    <t>FE-004</t>
  </si>
  <si>
    <t>State Management</t>
  </si>
  <si>
    <t>Setup Redux/Vuex/Zustand</t>
  </si>
  <si>
    <t>Global state</t>
  </si>
  <si>
    <t>FE-005</t>
  </si>
  <si>
    <t>API Integration</t>
  </si>
  <si>
    <t>Setup Axios, API client</t>
  </si>
  <si>
    <t>Base URL, interceptors</t>
  </si>
  <si>
    <t>FE-006</t>
  </si>
  <si>
    <t>Auth Pages</t>
  </si>
  <si>
    <t>Login, Register, Forgot Password</t>
  </si>
  <si>
    <t>Form validation</t>
  </si>
  <si>
    <t>FE-007</t>
  </si>
  <si>
    <t>Admin Layout</t>
  </si>
  <si>
    <t>Sidebar, Header, Footer</t>
  </si>
  <si>
    <t>Responsive</t>
  </si>
  <si>
    <t>FE-008</t>
  </si>
  <si>
    <t>Dashboard</t>
  </si>
  <si>
    <t>Admin dashboard with stats</t>
  </si>
  <si>
    <t>Charts</t>
  </si>
  <si>
    <t>FE-009</t>
  </si>
  <si>
    <t>Vehicle List</t>
  </si>
  <si>
    <t>Table with filters, pagination</t>
  </si>
  <si>
    <t>Search, sort</t>
  </si>
  <si>
    <t>FE-010</t>
  </si>
  <si>
    <t>Vehicle CRUD</t>
  </si>
  <si>
    <t>Create, Edit, Delete vehicle</t>
  </si>
  <si>
    <t>Image upload</t>
  </si>
  <si>
    <t>FE-011</t>
  </si>
  <si>
    <t>Customer List</t>
  </si>
  <si>
    <t>Customer management table</t>
  </si>
  <si>
    <t>W10</t>
  </si>
  <si>
    <t>Filters</t>
  </si>
  <si>
    <t>FE-012</t>
  </si>
  <si>
    <t>Customer Detail</t>
  </si>
  <si>
    <t>View/Edit customer profile</t>
  </si>
  <si>
    <t>Booking history</t>
  </si>
  <si>
    <t>FE-013</t>
  </si>
  <si>
    <t>Booking Calendar</t>
  </si>
  <si>
    <t>Calendar view of bookings</t>
  </si>
  <si>
    <t>FullCalendar.js</t>
  </si>
  <si>
    <t>FE-014</t>
  </si>
  <si>
    <t>Booking Form</t>
  </si>
  <si>
    <t>Create booking form</t>
  </si>
  <si>
    <t>Date picker, validation</t>
  </si>
  <si>
    <t>FE-015</t>
  </si>
  <si>
    <t>Booking Detail</t>
  </si>
  <si>
    <t>View booking details</t>
  </si>
  <si>
    <t>Timeline</t>
  </si>
  <si>
    <t>FE-016</t>
  </si>
  <si>
    <t>Invoice Page</t>
  </si>
  <si>
    <t>Generate and print invoice</t>
  </si>
  <si>
    <t>PDF export</t>
  </si>
  <si>
    <t>FE-017</t>
  </si>
  <si>
    <t>Payment Processing</t>
  </si>
  <si>
    <t>Payment form UI</t>
  </si>
  <si>
    <t>Payment gateway</t>
  </si>
  <si>
    <t>FE-018</t>
  </si>
  <si>
    <t>Handover Form</t>
  </si>
  <si>
    <t>Vehicle handover checklist</t>
  </si>
  <si>
    <t>Photo upload</t>
  </si>
  <si>
    <t>FE-019</t>
  </si>
  <si>
    <t>Return Form</t>
  </si>
  <si>
    <t>Vehicle return report</t>
  </si>
  <si>
    <t>Damage notes</t>
  </si>
  <si>
    <t>FE-020</t>
  </si>
  <si>
    <t>Separate customer interface</t>
  </si>
  <si>
    <t>W11</t>
  </si>
  <si>
    <t>Different layout</t>
  </si>
  <si>
    <t>FE-021</t>
  </si>
  <si>
    <t>Home Page</t>
  </si>
  <si>
    <t>Landing page with search</t>
  </si>
  <si>
    <t>Hero, features</t>
  </si>
  <si>
    <t>FE-022</t>
  </si>
  <si>
    <t>Vehicle Catalog</t>
  </si>
  <si>
    <t>Browse vehicles with filters</t>
  </si>
  <si>
    <t>Grid/List view</t>
  </si>
  <si>
    <t>FE-023</t>
  </si>
  <si>
    <t>Vehicle Detail</t>
  </si>
  <si>
    <t>Vehicle detail page</t>
  </si>
  <si>
    <t>Image gallery, specs</t>
  </si>
  <si>
    <t>FE-024</t>
  </si>
  <si>
    <t>Booking Flow</t>
  </si>
  <si>
    <t>Multi-step booking wizard</t>
  </si>
  <si>
    <t>4 steps</t>
  </si>
  <si>
    <t>FE-025</t>
  </si>
  <si>
    <t>My Profile</t>
  </si>
  <si>
    <t>Customer profile page</t>
  </si>
  <si>
    <t>Edit info</t>
  </si>
  <si>
    <t>FE-026</t>
  </si>
  <si>
    <t>My Bookings</t>
  </si>
  <si>
    <t>Booking history and status</t>
  </si>
  <si>
    <t>Active/Past</t>
  </si>
  <si>
    <t>FE-027</t>
  </si>
  <si>
    <t>Write Review</t>
  </si>
  <si>
    <t>Submit review form</t>
  </si>
  <si>
    <t>Star rating</t>
  </si>
  <si>
    <t>FE-028</t>
  </si>
  <si>
    <t>Loyalty Points</t>
  </si>
  <si>
    <t>View points and rewards</t>
  </si>
  <si>
    <t>FE-029</t>
  </si>
  <si>
    <t>Blog List</t>
  </si>
  <si>
    <t>Blog listing page</t>
  </si>
  <si>
    <t>W12</t>
  </si>
  <si>
    <t>Categories, search</t>
  </si>
  <si>
    <t>FE-030</t>
  </si>
  <si>
    <t>Blog Detail</t>
  </si>
  <si>
    <t>Single blog post page</t>
  </si>
  <si>
    <t>Rich text display</t>
  </si>
  <si>
    <t>FE-031</t>
  </si>
  <si>
    <t>FAQ Page</t>
  </si>
  <si>
    <t>FAQ accordion page</t>
  </si>
  <si>
    <t>Searchable</t>
  </si>
  <si>
    <t>FE-032</t>
  </si>
  <si>
    <t>Contact Page</t>
  </si>
  <si>
    <t>Contact form</t>
  </si>
  <si>
    <t>Google Maps</t>
  </si>
  <si>
    <t>FE-033</t>
  </si>
  <si>
    <t>Notifications</t>
  </si>
  <si>
    <t>Notification dropdown</t>
  </si>
  <si>
    <t>Real-time</t>
  </si>
  <si>
    <t>FE-034</t>
  </si>
  <si>
    <t>Marketing Campaign</t>
  </si>
  <si>
    <t>Campaign management UI</t>
  </si>
  <si>
    <t>Admin only</t>
  </si>
  <si>
    <t>FE-035</t>
  </si>
  <si>
    <t>Reports Page</t>
  </si>
  <si>
    <t>Charts and reports</t>
  </si>
  <si>
    <t>Export Excel</t>
  </si>
  <si>
    <t>FE-036</t>
  </si>
  <si>
    <t>Settings Page</t>
  </si>
  <si>
    <t>System configuration</t>
  </si>
  <si>
    <t>FE-037</t>
  </si>
  <si>
    <t>Responsive Design</t>
  </si>
  <si>
    <t>Mobile optimization</t>
  </si>
  <si>
    <t>All pages</t>
  </si>
  <si>
    <t>FE-038</t>
  </si>
  <si>
    <t>Dark Mode</t>
  </si>
  <si>
    <t>Theme switcher</t>
  </si>
  <si>
    <t>Optional</t>
  </si>
  <si>
    <t>FE-039</t>
  </si>
  <si>
    <t>Loading States</t>
  </si>
  <si>
    <t>Skeletons, spinners</t>
  </si>
  <si>
    <t>UX improvement</t>
  </si>
  <si>
    <t>FE-040</t>
  </si>
  <si>
    <t>Error pages, toast messages</t>
  </si>
  <si>
    <t>404, 500 pages</t>
  </si>
  <si>
    <t>PHASE 4: TESTING &amp; QA</t>
  </si>
  <si>
    <t>Duration: 2 weeks</t>
  </si>
  <si>
    <t>TS-001</t>
  </si>
  <si>
    <t>Unit Tests - Backend</t>
  </si>
  <si>
    <t>Test all API endpoints</t>
  </si>
  <si>
    <t>W13</t>
  </si>
  <si>
    <t>80% coverage</t>
  </si>
  <si>
    <t>TS-002</t>
  </si>
  <si>
    <t>Unit Tests - Frontend</t>
  </si>
  <si>
    <t>Test React components</t>
  </si>
  <si>
    <t>Jest, RTL</t>
  </si>
  <si>
    <t>TS-003</t>
  </si>
  <si>
    <t>Test API + DB together</t>
  </si>
  <si>
    <t>Real scenarios</t>
  </si>
  <si>
    <t>TS-004</t>
  </si>
  <si>
    <t>E2E Tests</t>
  </si>
  <si>
    <t>Test complete user flows</t>
  </si>
  <si>
    <t>Cypress/Playwright</t>
  </si>
  <si>
    <t>TS-005</t>
  </si>
  <si>
    <t>Manual Testing</t>
  </si>
  <si>
    <t>Test all features manually</t>
  </si>
  <si>
    <t>Checklist</t>
  </si>
  <si>
    <t>TS-006</t>
  </si>
  <si>
    <t>Bug Tracking</t>
  </si>
  <si>
    <t>Log and prioritize bugs</t>
  </si>
  <si>
    <t>Jira/GitHub Issues</t>
  </si>
  <si>
    <t>TS-007</t>
  </si>
  <si>
    <t>Bug Fixing</t>
  </si>
  <si>
    <t>Fix critical bugs</t>
  </si>
  <si>
    <t>Priority 1</t>
  </si>
  <si>
    <t>TS-008</t>
  </si>
  <si>
    <t>Performance Testing</t>
  </si>
  <si>
    <t>Load test with 100+ concurrent users</t>
  </si>
  <si>
    <t>W14</t>
  </si>
  <si>
    <t>JMeter</t>
  </si>
  <si>
    <t>TS-009</t>
  </si>
  <si>
    <t>Security Testing</t>
  </si>
  <si>
    <t>SQL injection, XSS, CSRF tests</t>
  </si>
  <si>
    <t>OWASP checklist</t>
  </si>
  <si>
    <t>TS-010</t>
  </si>
  <si>
    <t>Mobile Testing</t>
  </si>
  <si>
    <t>Test on mobile devices</t>
  </si>
  <si>
    <t>iOS, Android</t>
  </si>
  <si>
    <t>TS-011</t>
  </si>
  <si>
    <t>Browser Testing</t>
  </si>
  <si>
    <t>Test on Chrome, Safari, Firefox</t>
  </si>
  <si>
    <t>Cross-browser</t>
  </si>
  <si>
    <t>TS-012</t>
  </si>
  <si>
    <t>Accessibility</t>
  </si>
  <si>
    <t>Test WCAG compliance</t>
  </si>
  <si>
    <t>Screen readers</t>
  </si>
  <si>
    <t>TS-013</t>
  </si>
  <si>
    <t>UAT</t>
  </si>
  <si>
    <t>User acceptance testing</t>
  </si>
  <si>
    <t>Real users</t>
  </si>
  <si>
    <t>TS-014</t>
  </si>
  <si>
    <t>Final Bug Fixes</t>
  </si>
  <si>
    <t>Fix remaining bugs</t>
  </si>
  <si>
    <t>All priorities</t>
  </si>
  <si>
    <t>TS-015</t>
  </si>
  <si>
    <t>Regression Testing</t>
  </si>
  <si>
    <t>Retest everything after fixes</t>
  </si>
  <si>
    <t>Full suite</t>
  </si>
  <si>
    <t>PHASE 5: DEPLOYMENT &amp; LAUNCH</t>
  </si>
  <si>
    <t>DP-001</t>
  </si>
  <si>
    <t>Server Setup</t>
  </si>
  <si>
    <t>Setup production server (AWS/Azure)</t>
  </si>
  <si>
    <t>W15</t>
  </si>
  <si>
    <t>EC2/VM</t>
  </si>
  <si>
    <t>DP-002</t>
  </si>
  <si>
    <t>Database Setup</t>
  </si>
  <si>
    <t>Setup production database</t>
  </si>
  <si>
    <t>RDS/Managed DB</t>
  </si>
  <si>
    <t>DP-003</t>
  </si>
  <si>
    <t>Environment Vars</t>
  </si>
  <si>
    <t>Configure production environment</t>
  </si>
  <si>
    <t>.env files</t>
  </si>
  <si>
    <t>DP-004</t>
  </si>
  <si>
    <t>SSL Certificate</t>
  </si>
  <si>
    <t>Setup HTTPS</t>
  </si>
  <si>
    <t>Let's Encrypt</t>
  </si>
  <si>
    <t>DP-005</t>
  </si>
  <si>
    <t>Domain Setup</t>
  </si>
  <si>
    <t>Configure domain and DNS</t>
  </si>
  <si>
    <t>yourdomain.com</t>
  </si>
  <si>
    <t>DP-006</t>
  </si>
  <si>
    <t>CI/CD Pipeline</t>
  </si>
  <si>
    <t>Setup GitHub Actions/Jenkins</t>
  </si>
  <si>
    <t>Auto deploy</t>
  </si>
  <si>
    <t>DP-007</t>
  </si>
  <si>
    <t>Automated backups</t>
  </si>
  <si>
    <t>Daily backups</t>
  </si>
  <si>
    <t>DP-008</t>
  </si>
  <si>
    <t>Monitoring</t>
  </si>
  <si>
    <t>Setup monitoring (Datadog/New Relic)</t>
  </si>
  <si>
    <t>Alerts</t>
  </si>
  <si>
    <t>DP-009</t>
  </si>
  <si>
    <t>Centralized logging</t>
  </si>
  <si>
    <t>ELK stack</t>
  </si>
  <si>
    <t>DP-010</t>
  </si>
  <si>
    <t>Documentation</t>
  </si>
  <si>
    <t>Complete all documentation</t>
  </si>
  <si>
    <t>User + Admin manuals</t>
  </si>
  <si>
    <t>DP-011</t>
  </si>
  <si>
    <t>Staging Deploy</t>
  </si>
  <si>
    <t>Deploy to staging environment</t>
  </si>
  <si>
    <t>W16</t>
  </si>
  <si>
    <t>Final testing</t>
  </si>
  <si>
    <t>DP-012</t>
  </si>
  <si>
    <t>Staging Testing</t>
  </si>
  <si>
    <t>Final QA on staging</t>
  </si>
  <si>
    <t>Smoke tests</t>
  </si>
  <si>
    <t>DP-013</t>
  </si>
  <si>
    <t>Production Deploy</t>
  </si>
  <si>
    <t>Deploy to production!</t>
  </si>
  <si>
    <t>Zero downtime</t>
  </si>
  <si>
    <t>DP-014</t>
  </si>
  <si>
    <t>Smoke Tests</t>
  </si>
  <si>
    <t>Verify production is working</t>
  </si>
  <si>
    <t>Critical paths</t>
  </si>
  <si>
    <t>DP-015</t>
  </si>
  <si>
    <t>Performance Check</t>
  </si>
  <si>
    <t>Check production performance</t>
  </si>
  <si>
    <t>APM tools</t>
  </si>
  <si>
    <t>DP-016</t>
  </si>
  <si>
    <t>Marketing Material</t>
  </si>
  <si>
    <t>Prepare sales materials</t>
  </si>
  <si>
    <t>Brochure, demo</t>
  </si>
  <si>
    <t>DP-017</t>
  </si>
  <si>
    <t>Demo Video</t>
  </si>
  <si>
    <t>Create product demo video</t>
  </si>
  <si>
    <t>Screen recording</t>
  </si>
  <si>
    <t>DP-018</t>
  </si>
  <si>
    <t>Launch Announcement</t>
  </si>
  <si>
    <t>Announce product launch</t>
  </si>
  <si>
    <t>Social media</t>
  </si>
  <si>
    <t>DP-019</t>
  </si>
  <si>
    <t>Customer Support</t>
  </si>
  <si>
    <t>Setup support system</t>
  </si>
  <si>
    <t>Email/Chat</t>
  </si>
  <si>
    <t>DP-020</t>
  </si>
  <si>
    <t>Celebration!</t>
  </si>
  <si>
    <t>🎉 Launch party</t>
  </si>
  <si>
    <t>Team celebration!</t>
  </si>
  <si>
    <t>PROJECT RESOURCES &amp; BUDGET</t>
  </si>
  <si>
    <t>TEAM STRUCTURE</t>
  </si>
  <si>
    <t>Role</t>
  </si>
  <si>
    <t>Quantity</t>
  </si>
  <si>
    <t>Rate (VND/month)</t>
  </si>
  <si>
    <t>Duration (months)</t>
  </si>
  <si>
    <t>Total Cost</t>
  </si>
  <si>
    <t>Full-stack Developer (Senior)</t>
  </si>
  <si>
    <t>Full-stack Developer (Mid)</t>
  </si>
  <si>
    <t>UI/UX Designer</t>
  </si>
  <si>
    <t>QA Tester</t>
  </si>
  <si>
    <t>DevOps Engineer</t>
  </si>
  <si>
    <t>Project Manager</t>
  </si>
  <si>
    <t>SUBTOTAL:</t>
  </si>
  <si>
    <t>INFRASTRUCTURE COSTS</t>
  </si>
  <si>
    <t>Item</t>
  </si>
  <si>
    <t>Provider</t>
  </si>
  <si>
    <t>Cost (VND/month)</t>
  </si>
  <si>
    <t>Server (Production)</t>
  </si>
  <si>
    <t>AWS EC2 t3.large</t>
  </si>
  <si>
    <t>Database (RDS)</t>
  </si>
  <si>
    <t>AWS RDS MySQL</t>
  </si>
  <si>
    <t>Storage (S3)</t>
  </si>
  <si>
    <t>AWS S3</t>
  </si>
  <si>
    <t>CDN</t>
  </si>
  <si>
    <t>CloudFront</t>
  </si>
  <si>
    <t>SendGrid</t>
  </si>
  <si>
    <t>Twilio</t>
  </si>
  <si>
    <t>Datadog</t>
  </si>
  <si>
    <t>Domain &amp; SSL</t>
  </si>
  <si>
    <t>Various</t>
  </si>
  <si>
    <t>OTHER COSTS</t>
  </si>
  <si>
    <t>Cost (VND)</t>
  </si>
  <si>
    <t>Licenses (IDE, tools)</t>
  </si>
  <si>
    <t>Third-party APIs</t>
  </si>
  <si>
    <t>Marketing materials</t>
  </si>
  <si>
    <t>Contingency (10%)</t>
  </si>
  <si>
    <t>TOTAL PROJECT COST</t>
  </si>
  <si>
    <t>VND</t>
  </si>
  <si>
    <t>EXPECTED REVENUE</t>
  </si>
  <si>
    <t>VND (Premium product sale)</t>
  </si>
  <si>
    <t>NET PROFIT</t>
  </si>
  <si>
    <t>ROI</t>
  </si>
  <si>
    <t>testcase</t>
  </si>
  <si>
    <t>T01</t>
  </si>
  <si>
    <t>Login</t>
  </si>
  <si>
    <t>Nhập đúng username</t>
  </si>
  <si>
    <t>nhap</t>
  </si>
  <si>
    <t>flase</t>
  </si>
  <si>
    <t>%^^</t>
  </si>
  <si>
    <t>nhận không</t>
  </si>
  <si>
    <t>invaliad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</si>
</sst>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0" x14ac:knownFonts="1">
    <font>
      <sz val="11"/>
      <color theme="1"/>
      <name val="Calibri"/>
      <family val="2"/>
      <scheme val="minor"/>
    </font>
    <font>
      <b/>
      <sz val="16"/>
      <color rgb="FF366092"/>
      <name val="Calibri"/>
    </font>
    <font>
      <b/>
      <sz val="14"/>
      <name val="Calibri"/>
    </font>
    <font>
      <b/>
      <sz val="12"/>
      <name val="Calibri"/>
    </font>
    <font>
      <b/>
      <sz val="11"/>
      <name val="Calibri"/>
    </font>
    <font>
      <b/>
      <sz val="11"/>
      <color rgb="FFFFFFFF"/>
      <name val="Calibri"/>
    </font>
    <font>
      <b/>
      <sz val="14"/>
      <color rgb="FFFF0000"/>
      <name val="Calibri"/>
    </font>
    <font>
      <b/>
      <sz val="14"/>
      <color rgb="FF00B050"/>
      <name val="Calibri"/>
    </font>
    <font>
      <b/>
      <sz val="14"/>
      <color rgb="FF0070C0"/>
      <name val="Calibri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D9E2F3"/>
        <bgColor rgb="FFD9E2F3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2" borderId="1" xfId="0" applyFont="1" applyFill="1" applyBorder="1" applyAlignment="1">
      <alignment horizontal="center"/>
    </xf>
    <xf numFmtId="9" fontId="0" fillId="0" borderId="1" xfId="0" applyNumberFormat="1" applyBorder="1"/>
    <xf numFmtId="0" fontId="4" fillId="3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0" fillId="8" borderId="1" xfId="0" applyFill="1" applyBorder="1"/>
    <xf numFmtId="0" fontId="0" fillId="0" borderId="1" xfId="0" applyBorder="1" applyAlignment="1">
      <alignment horizontal="center"/>
    </xf>
    <xf numFmtId="0" fontId="0" fillId="9" borderId="1" xfId="0" applyFill="1" applyBorder="1"/>
    <xf numFmtId="0" fontId="5" fillId="2" borderId="1" xfId="0" applyFont="1" applyFill="1" applyBorder="1"/>
    <xf numFmtId="3" fontId="0" fillId="0" borderId="1" xfId="0" applyNumberFormat="1" applyBorder="1"/>
    <xf numFmtId="3" fontId="4" fillId="0" borderId="1" xfId="0" applyNumberFormat="1" applyFont="1" applyBorder="1"/>
    <xf numFmtId="0" fontId="6" fillId="0" borderId="0" xfId="0" applyFont="1"/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8" fillId="0" borderId="0" xfId="0" applyFont="1"/>
    <xf numFmtId="3" fontId="8" fillId="0" borderId="0" xfId="0" applyNumberFormat="1" applyFont="1"/>
    <xf numFmtId="164" fontId="2" fillId="0" borderId="0" xfId="0" applyNumberFormat="1" applyFont="1"/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24"/>
  <sheetViews>
    <sheetView workbookViewId="0"/>
  </sheetViews>
  <sheetFormatPr defaultRowHeight="14.4" x14ac:dyDescent="0.3"/>
  <cols>
    <col min="1" max="1" width="25" customWidth="1"/>
    <col min="2" max="2" width="20" customWidth="1"/>
    <col min="3" max="6" width="15" customWidth="1"/>
  </cols>
  <sheetData>
    <row r="1" spans="1:3" ht="21" x14ac:dyDescent="0.4">
      <c r="A1" s="1" t="s">
        <v>0</v>
      </c>
    </row>
    <row r="2" spans="1:3" ht="18" x14ac:dyDescent="0.35">
      <c r="A2" s="2" t="s">
        <v>1</v>
      </c>
    </row>
    <row r="3" spans="1:3" x14ac:dyDescent="0.3">
      <c r="A3" t="s">
        <v>2</v>
      </c>
    </row>
    <row r="5" spans="1:3" ht="15.6" x14ac:dyDescent="0.3">
      <c r="A5" s="3" t="s">
        <v>3</v>
      </c>
    </row>
    <row r="6" spans="1:3" x14ac:dyDescent="0.3">
      <c r="A6" s="4" t="s">
        <v>4</v>
      </c>
      <c r="B6" s="5" t="s">
        <v>5</v>
      </c>
      <c r="C6" s="5" t="s">
        <v>6</v>
      </c>
    </row>
    <row r="7" spans="1:3" x14ac:dyDescent="0.3">
      <c r="A7" s="4" t="s">
        <v>7</v>
      </c>
      <c r="B7" s="5" t="s">
        <v>8</v>
      </c>
      <c r="C7" s="5" t="s">
        <v>9</v>
      </c>
    </row>
    <row r="8" spans="1:3" x14ac:dyDescent="0.3">
      <c r="A8" s="4" t="s">
        <v>10</v>
      </c>
      <c r="B8" s="5" t="s">
        <v>11</v>
      </c>
      <c r="C8" s="5" t="s">
        <v>12</v>
      </c>
    </row>
    <row r="9" spans="1:3" x14ac:dyDescent="0.3">
      <c r="A9" s="4" t="s">
        <v>13</v>
      </c>
      <c r="B9" s="5" t="s">
        <v>14</v>
      </c>
      <c r="C9" s="5" t="s">
        <v>15</v>
      </c>
    </row>
    <row r="10" spans="1:3" x14ac:dyDescent="0.3">
      <c r="A10" s="4" t="s">
        <v>16</v>
      </c>
      <c r="B10" s="5" t="s">
        <v>17</v>
      </c>
      <c r="C10" s="5" t="s">
        <v>18</v>
      </c>
    </row>
    <row r="11" spans="1:3" x14ac:dyDescent="0.3">
      <c r="A11" s="4" t="s">
        <v>19</v>
      </c>
      <c r="B11" s="5" t="s">
        <v>17</v>
      </c>
      <c r="C11" s="5" t="s">
        <v>20</v>
      </c>
    </row>
    <row r="12" spans="1:3" x14ac:dyDescent="0.3">
      <c r="A12" s="4" t="s">
        <v>21</v>
      </c>
      <c r="B12" s="5" t="s">
        <v>22</v>
      </c>
      <c r="C12" s="5" t="s">
        <v>23</v>
      </c>
    </row>
    <row r="13" spans="1:3" x14ac:dyDescent="0.3">
      <c r="A13" s="4"/>
      <c r="B13" s="5"/>
      <c r="C13" s="5"/>
    </row>
    <row r="14" spans="1:3" x14ac:dyDescent="0.3">
      <c r="A14" s="4" t="s">
        <v>24</v>
      </c>
      <c r="B14" s="5" t="s">
        <v>25</v>
      </c>
      <c r="C14" s="5"/>
    </row>
    <row r="15" spans="1:3" x14ac:dyDescent="0.3">
      <c r="A15" s="4" t="s">
        <v>26</v>
      </c>
      <c r="B15" s="5" t="s">
        <v>27</v>
      </c>
      <c r="C15" s="5" t="s">
        <v>28</v>
      </c>
    </row>
    <row r="16" spans="1:3" x14ac:dyDescent="0.3">
      <c r="A16" s="4" t="s">
        <v>29</v>
      </c>
      <c r="B16" s="5" t="s">
        <v>30</v>
      </c>
      <c r="C16" s="5" t="s">
        <v>31</v>
      </c>
    </row>
    <row r="18" spans="1:6" ht="15.6" x14ac:dyDescent="0.3">
      <c r="A18" s="3" t="s">
        <v>32</v>
      </c>
    </row>
    <row r="19" spans="1:6" x14ac:dyDescent="0.3">
      <c r="A19" s="6" t="s">
        <v>33</v>
      </c>
      <c r="B19" s="6" t="s">
        <v>34</v>
      </c>
      <c r="C19" s="6" t="s">
        <v>35</v>
      </c>
      <c r="D19" s="6" t="s">
        <v>36</v>
      </c>
      <c r="E19" s="6" t="s">
        <v>37</v>
      </c>
      <c r="F19" s="6" t="s">
        <v>38</v>
      </c>
    </row>
    <row r="20" spans="1:6" x14ac:dyDescent="0.3">
      <c r="A20" s="4" t="s">
        <v>39</v>
      </c>
      <c r="B20" s="5" t="s">
        <v>40</v>
      </c>
      <c r="C20" s="5">
        <v>45</v>
      </c>
      <c r="D20" s="5">
        <v>0</v>
      </c>
      <c r="E20" s="7">
        <f>D20/C20</f>
        <v>0</v>
      </c>
      <c r="F20" s="5" t="s">
        <v>41</v>
      </c>
    </row>
    <row r="21" spans="1:6" x14ac:dyDescent="0.3">
      <c r="A21" s="4" t="s">
        <v>42</v>
      </c>
      <c r="B21" s="5" t="s">
        <v>40</v>
      </c>
      <c r="C21" s="5">
        <v>38</v>
      </c>
      <c r="D21" s="5">
        <v>0</v>
      </c>
      <c r="E21" s="7">
        <f>D21/C21</f>
        <v>0</v>
      </c>
      <c r="F21" s="5" t="s">
        <v>41</v>
      </c>
    </row>
    <row r="22" spans="1:6" x14ac:dyDescent="0.3">
      <c r="A22" s="4" t="s">
        <v>43</v>
      </c>
      <c r="B22" s="5" t="s">
        <v>40</v>
      </c>
      <c r="C22" s="5">
        <v>32</v>
      </c>
      <c r="D22" s="5">
        <v>0</v>
      </c>
      <c r="E22" s="7">
        <f>D22/C22</f>
        <v>0</v>
      </c>
      <c r="F22" s="5" t="s">
        <v>41</v>
      </c>
    </row>
    <row r="23" spans="1:6" x14ac:dyDescent="0.3">
      <c r="A23" s="4" t="s">
        <v>44</v>
      </c>
      <c r="B23" s="5" t="s">
        <v>40</v>
      </c>
      <c r="C23" s="5">
        <v>15</v>
      </c>
      <c r="D23" s="5">
        <v>0</v>
      </c>
      <c r="E23" s="7">
        <f>D23/C23</f>
        <v>0</v>
      </c>
      <c r="F23" s="5" t="s">
        <v>45</v>
      </c>
    </row>
    <row r="24" spans="1:6" x14ac:dyDescent="0.3">
      <c r="A24" s="4" t="s">
        <v>46</v>
      </c>
      <c r="B24" s="5" t="s">
        <v>40</v>
      </c>
      <c r="C24" s="5">
        <v>10</v>
      </c>
      <c r="D24" s="5">
        <v>0</v>
      </c>
      <c r="E24" s="7">
        <f>D24/C24</f>
        <v>0</v>
      </c>
      <c r="F24" s="5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F4" sqref="F4"/>
    </sheetView>
  </sheetViews>
  <sheetFormatPr defaultRowHeight="14.4" x14ac:dyDescent="0.3"/>
  <sheetData>
    <row r="1" spans="1:4" x14ac:dyDescent="0.3">
      <c r="A1" t="s">
        <v>753</v>
      </c>
    </row>
    <row r="2" spans="1:4" x14ac:dyDescent="0.3">
      <c r="A2" t="s">
        <v>754</v>
      </c>
      <c r="B2" t="s">
        <v>755</v>
      </c>
      <c r="C2" t="s">
        <v>756</v>
      </c>
      <c r="D2" t="b">
        <v>1</v>
      </c>
    </row>
    <row r="3" spans="1:4" x14ac:dyDescent="0.3">
      <c r="C3" t="s">
        <v>757</v>
      </c>
      <c r="D3" t="s">
        <v>758</v>
      </c>
    </row>
    <row r="4" spans="1:4" x14ac:dyDescent="0.3">
      <c r="C4" t="s">
        <v>759</v>
      </c>
      <c r="D4" t="s">
        <v>760</v>
      </c>
    </row>
    <row r="5" spans="1:4" x14ac:dyDescent="0.3">
      <c r="C5" t="s">
        <v>761</v>
      </c>
      <c r="D5" t="s">
        <v>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19"/>
  <sheetViews>
    <sheetView workbookViewId="0">
      <selection activeCell="F4" sqref="F4:F19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4" width="20" customWidth="1"/>
    <col min="5" max="5" width="40" customWidth="1"/>
    <col min="6" max="6" width="10" customWidth="1"/>
  </cols>
  <sheetData>
    <row r="1" spans="1:6" ht="18" x14ac:dyDescent="0.35">
      <c r="A1" s="2" t="s">
        <v>47</v>
      </c>
    </row>
    <row r="3" spans="1:6" x14ac:dyDescent="0.3">
      <c r="A3" s="6" t="s">
        <v>48</v>
      </c>
      <c r="B3" s="6" t="s">
        <v>49</v>
      </c>
      <c r="C3" s="6" t="s">
        <v>33</v>
      </c>
      <c r="D3" s="6" t="s">
        <v>50</v>
      </c>
      <c r="E3" s="6" t="s">
        <v>51</v>
      </c>
      <c r="F3" s="6" t="s">
        <v>34</v>
      </c>
    </row>
    <row r="4" spans="1:6" x14ac:dyDescent="0.3">
      <c r="A4" s="5" t="s">
        <v>52</v>
      </c>
      <c r="B4" s="5" t="s">
        <v>53</v>
      </c>
      <c r="C4" s="8" t="s">
        <v>54</v>
      </c>
      <c r="D4" s="5" t="s">
        <v>55</v>
      </c>
      <c r="E4" s="5" t="s">
        <v>56</v>
      </c>
      <c r="F4" s="5" t="s">
        <v>57</v>
      </c>
    </row>
    <row r="5" spans="1:6" x14ac:dyDescent="0.3">
      <c r="A5" s="5" t="s">
        <v>58</v>
      </c>
      <c r="B5" s="5" t="s">
        <v>59</v>
      </c>
      <c r="C5" s="8" t="s">
        <v>54</v>
      </c>
      <c r="D5" s="5" t="s">
        <v>60</v>
      </c>
      <c r="E5" s="5" t="s">
        <v>61</v>
      </c>
      <c r="F5" s="5" t="s">
        <v>57</v>
      </c>
    </row>
    <row r="6" spans="1:6" x14ac:dyDescent="0.3">
      <c r="A6" s="5" t="s">
        <v>62</v>
      </c>
      <c r="B6" s="5" t="s">
        <v>63</v>
      </c>
      <c r="C6" s="8" t="s">
        <v>54</v>
      </c>
      <c r="D6" s="5" t="s">
        <v>64</v>
      </c>
      <c r="E6" s="5" t="s">
        <v>65</v>
      </c>
      <c r="F6" s="5" t="s">
        <v>57</v>
      </c>
    </row>
    <row r="7" spans="1:6" x14ac:dyDescent="0.3">
      <c r="A7" s="5" t="s">
        <v>66</v>
      </c>
      <c r="B7" s="5" t="s">
        <v>67</v>
      </c>
      <c r="C7" s="8" t="s">
        <v>54</v>
      </c>
      <c r="D7" s="5" t="s">
        <v>68</v>
      </c>
      <c r="E7" s="5" t="s">
        <v>69</v>
      </c>
      <c r="F7" s="5" t="s">
        <v>57</v>
      </c>
    </row>
    <row r="8" spans="1:6" x14ac:dyDescent="0.3">
      <c r="A8" s="5" t="s">
        <v>70</v>
      </c>
      <c r="B8" s="5" t="s">
        <v>71</v>
      </c>
      <c r="C8" s="9" t="s">
        <v>72</v>
      </c>
      <c r="D8" s="5" t="s">
        <v>73</v>
      </c>
      <c r="E8" s="5" t="s">
        <v>74</v>
      </c>
      <c r="F8" s="5" t="s">
        <v>57</v>
      </c>
    </row>
    <row r="9" spans="1:6" x14ac:dyDescent="0.3">
      <c r="A9" s="5" t="s">
        <v>75</v>
      </c>
      <c r="B9" s="5" t="s">
        <v>76</v>
      </c>
      <c r="C9" s="9" t="s">
        <v>72</v>
      </c>
      <c r="D9" s="5" t="s">
        <v>77</v>
      </c>
      <c r="E9" s="5" t="s">
        <v>78</v>
      </c>
      <c r="F9" s="5" t="s">
        <v>57</v>
      </c>
    </row>
    <row r="10" spans="1:6" x14ac:dyDescent="0.3">
      <c r="A10" s="5" t="s">
        <v>79</v>
      </c>
      <c r="B10" s="5" t="s">
        <v>80</v>
      </c>
      <c r="C10" s="9" t="s">
        <v>72</v>
      </c>
      <c r="D10" s="5" t="s">
        <v>81</v>
      </c>
      <c r="E10" s="5" t="s">
        <v>82</v>
      </c>
      <c r="F10" s="5" t="s">
        <v>57</v>
      </c>
    </row>
    <row r="11" spans="1:6" x14ac:dyDescent="0.3">
      <c r="A11" s="5" t="s">
        <v>83</v>
      </c>
      <c r="B11" s="5" t="s">
        <v>84</v>
      </c>
      <c r="C11" s="9" t="s">
        <v>72</v>
      </c>
      <c r="D11" s="5" t="s">
        <v>85</v>
      </c>
      <c r="E11" s="5" t="s">
        <v>86</v>
      </c>
      <c r="F11" s="5" t="s">
        <v>57</v>
      </c>
    </row>
    <row r="12" spans="1:6" x14ac:dyDescent="0.3">
      <c r="A12" s="5" t="s">
        <v>87</v>
      </c>
      <c r="B12" s="5" t="s">
        <v>88</v>
      </c>
      <c r="C12" s="10" t="s">
        <v>89</v>
      </c>
      <c r="D12" s="5" t="s">
        <v>90</v>
      </c>
      <c r="E12" s="5" t="s">
        <v>91</v>
      </c>
      <c r="F12" s="5" t="s">
        <v>57</v>
      </c>
    </row>
    <row r="13" spans="1:6" x14ac:dyDescent="0.3">
      <c r="A13" s="5" t="s">
        <v>92</v>
      </c>
      <c r="B13" s="5" t="s">
        <v>93</v>
      </c>
      <c r="C13" s="10" t="s">
        <v>89</v>
      </c>
      <c r="D13" s="5" t="s">
        <v>94</v>
      </c>
      <c r="E13" s="5" t="s">
        <v>95</v>
      </c>
      <c r="F13" s="5" t="s">
        <v>57</v>
      </c>
    </row>
    <row r="14" spans="1:6" x14ac:dyDescent="0.3">
      <c r="A14" s="5" t="s">
        <v>96</v>
      </c>
      <c r="B14" s="5" t="s">
        <v>97</v>
      </c>
      <c r="C14" s="10" t="s">
        <v>89</v>
      </c>
      <c r="D14" s="5" t="s">
        <v>98</v>
      </c>
      <c r="E14" s="5" t="s">
        <v>99</v>
      </c>
      <c r="F14" s="5" t="s">
        <v>57</v>
      </c>
    </row>
    <row r="15" spans="1:6" x14ac:dyDescent="0.3">
      <c r="A15" s="5" t="s">
        <v>100</v>
      </c>
      <c r="B15" s="5" t="s">
        <v>101</v>
      </c>
      <c r="C15" s="10" t="s">
        <v>89</v>
      </c>
      <c r="D15" s="5" t="s">
        <v>102</v>
      </c>
      <c r="E15" s="5" t="s">
        <v>103</v>
      </c>
      <c r="F15" s="5" t="s">
        <v>57</v>
      </c>
    </row>
    <row r="16" spans="1:6" x14ac:dyDescent="0.3">
      <c r="A16" s="5" t="s">
        <v>104</v>
      </c>
      <c r="B16" s="5" t="s">
        <v>105</v>
      </c>
      <c r="C16" s="11" t="s">
        <v>106</v>
      </c>
      <c r="D16" s="5" t="s">
        <v>107</v>
      </c>
      <c r="E16" s="5" t="s">
        <v>108</v>
      </c>
      <c r="F16" s="5" t="s">
        <v>57</v>
      </c>
    </row>
    <row r="17" spans="1:6" x14ac:dyDescent="0.3">
      <c r="A17" s="5" t="s">
        <v>109</v>
      </c>
      <c r="B17" s="5" t="s">
        <v>110</v>
      </c>
      <c r="C17" s="11" t="s">
        <v>106</v>
      </c>
      <c r="D17" s="5" t="s">
        <v>107</v>
      </c>
      <c r="E17" s="5" t="s">
        <v>111</v>
      </c>
      <c r="F17" s="5" t="s">
        <v>57</v>
      </c>
    </row>
    <row r="18" spans="1:6" x14ac:dyDescent="0.3">
      <c r="A18" s="5" t="s">
        <v>112</v>
      </c>
      <c r="B18" s="5" t="s">
        <v>113</v>
      </c>
      <c r="C18" s="12" t="s">
        <v>114</v>
      </c>
      <c r="D18" s="5" t="s">
        <v>115</v>
      </c>
      <c r="E18" s="5" t="s">
        <v>116</v>
      </c>
      <c r="F18" s="5" t="s">
        <v>57</v>
      </c>
    </row>
    <row r="19" spans="1:6" x14ac:dyDescent="0.3">
      <c r="A19" s="5" t="s">
        <v>117</v>
      </c>
      <c r="B19" s="5" t="s">
        <v>118</v>
      </c>
      <c r="C19" s="12" t="s">
        <v>114</v>
      </c>
      <c r="D19" s="5" t="s">
        <v>119</v>
      </c>
      <c r="E19" s="5" t="s">
        <v>120</v>
      </c>
      <c r="F19" s="5" t="s">
        <v>57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I31"/>
  <sheetViews>
    <sheetView topLeftCell="A4" workbookViewId="0">
      <selection activeCell="C5" sqref="C5"/>
    </sheetView>
  </sheetViews>
  <sheetFormatPr defaultRowHeight="14.4" x14ac:dyDescent="0.3"/>
  <cols>
    <col min="1" max="1" width="5" customWidth="1"/>
    <col min="2" max="2" width="10" customWidth="1"/>
    <col min="3" max="3" width="25" customWidth="1"/>
    <col min="4" max="4" width="40" customWidth="1"/>
    <col min="5" max="5" width="10" customWidth="1"/>
    <col min="6" max="7" width="8" customWidth="1"/>
    <col min="8" max="8" width="15" customWidth="1"/>
    <col min="9" max="9" width="30" customWidth="1"/>
  </cols>
  <sheetData>
    <row r="1" spans="1:9" ht="18" x14ac:dyDescent="0.35">
      <c r="A1" s="2" t="s">
        <v>121</v>
      </c>
    </row>
    <row r="2" spans="1:9" x14ac:dyDescent="0.3">
      <c r="A2" t="s">
        <v>122</v>
      </c>
    </row>
    <row r="4" spans="1:9" x14ac:dyDescent="0.3">
      <c r="A4" s="26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48</v>
      </c>
      <c r="H4" s="6" t="s">
        <v>129</v>
      </c>
      <c r="I4" s="6" t="s">
        <v>130</v>
      </c>
    </row>
    <row r="5" spans="1:9" x14ac:dyDescent="0.3">
      <c r="A5" t="s">
        <v>57</v>
      </c>
      <c r="B5" s="5" t="s">
        <v>131</v>
      </c>
      <c r="C5" s="5" t="s">
        <v>132</v>
      </c>
      <c r="D5" s="5" t="s">
        <v>133</v>
      </c>
      <c r="E5" s="13" t="s">
        <v>134</v>
      </c>
      <c r="F5" s="14">
        <v>4</v>
      </c>
      <c r="G5" s="5" t="s">
        <v>135</v>
      </c>
      <c r="H5" s="5" t="s">
        <v>136</v>
      </c>
      <c r="I5" s="5" t="s">
        <v>137</v>
      </c>
    </row>
    <row r="6" spans="1:9" x14ac:dyDescent="0.3">
      <c r="A6" t="s">
        <v>57</v>
      </c>
      <c r="B6" s="5" t="s">
        <v>138</v>
      </c>
      <c r="C6" s="5" t="s">
        <v>139</v>
      </c>
      <c r="D6" s="5" t="s">
        <v>140</v>
      </c>
      <c r="E6" s="13" t="s">
        <v>134</v>
      </c>
      <c r="F6" s="14">
        <v>2</v>
      </c>
      <c r="G6" s="5" t="s">
        <v>135</v>
      </c>
      <c r="H6" s="5" t="s">
        <v>131</v>
      </c>
      <c r="I6" s="5" t="s">
        <v>141</v>
      </c>
    </row>
    <row r="7" spans="1:9" x14ac:dyDescent="0.3">
      <c r="A7" t="s">
        <v>57</v>
      </c>
      <c r="B7" s="5" t="s">
        <v>142</v>
      </c>
      <c r="C7" s="5" t="s">
        <v>143</v>
      </c>
      <c r="D7" s="5" t="s">
        <v>144</v>
      </c>
      <c r="E7" s="13" t="s">
        <v>134</v>
      </c>
      <c r="F7" s="14">
        <v>1</v>
      </c>
      <c r="G7" s="5" t="s">
        <v>135</v>
      </c>
      <c r="H7" s="5" t="s">
        <v>138</v>
      </c>
      <c r="I7" s="5" t="s">
        <v>145</v>
      </c>
    </row>
    <row r="8" spans="1:9" x14ac:dyDescent="0.3">
      <c r="A8" t="s">
        <v>57</v>
      </c>
      <c r="B8" s="5" t="s">
        <v>146</v>
      </c>
      <c r="C8" s="5" t="s">
        <v>147</v>
      </c>
      <c r="D8" s="5" t="s">
        <v>148</v>
      </c>
      <c r="E8" s="13" t="s">
        <v>134</v>
      </c>
      <c r="F8" s="14">
        <v>8</v>
      </c>
      <c r="G8" s="5" t="s">
        <v>135</v>
      </c>
      <c r="H8" s="5" t="s">
        <v>142</v>
      </c>
      <c r="I8" s="5" t="s">
        <v>149</v>
      </c>
    </row>
    <row r="9" spans="1:9" x14ac:dyDescent="0.3">
      <c r="A9" t="s">
        <v>57</v>
      </c>
      <c r="B9" s="5" t="s">
        <v>150</v>
      </c>
      <c r="C9" s="5" t="s">
        <v>151</v>
      </c>
      <c r="D9" s="5" t="s">
        <v>152</v>
      </c>
      <c r="E9" s="13" t="s">
        <v>134</v>
      </c>
      <c r="F9" s="14">
        <v>2</v>
      </c>
      <c r="G9" s="5" t="s">
        <v>135</v>
      </c>
      <c r="H9" s="5" t="s">
        <v>146</v>
      </c>
      <c r="I9" s="5" t="s">
        <v>153</v>
      </c>
    </row>
    <row r="10" spans="1:9" x14ac:dyDescent="0.3">
      <c r="A10" t="s">
        <v>57</v>
      </c>
      <c r="B10" s="5" t="s">
        <v>154</v>
      </c>
      <c r="C10" s="5" t="s">
        <v>155</v>
      </c>
      <c r="D10" s="5" t="s">
        <v>156</v>
      </c>
      <c r="E10" s="13" t="s">
        <v>134</v>
      </c>
      <c r="F10" s="14">
        <v>4</v>
      </c>
      <c r="G10" s="5" t="s">
        <v>135</v>
      </c>
      <c r="H10" s="5" t="s">
        <v>150</v>
      </c>
      <c r="I10" s="5" t="s">
        <v>157</v>
      </c>
    </row>
    <row r="11" spans="1:9" x14ac:dyDescent="0.3">
      <c r="A11" t="s">
        <v>57</v>
      </c>
      <c r="B11" s="5" t="s">
        <v>158</v>
      </c>
      <c r="C11" s="5" t="s">
        <v>159</v>
      </c>
      <c r="D11" s="5" t="s">
        <v>160</v>
      </c>
      <c r="E11" s="13" t="s">
        <v>134</v>
      </c>
      <c r="F11" s="14">
        <v>4</v>
      </c>
      <c r="G11" s="5" t="s">
        <v>161</v>
      </c>
      <c r="H11" s="5" t="s">
        <v>154</v>
      </c>
      <c r="I11" s="5" t="s">
        <v>162</v>
      </c>
    </row>
    <row r="12" spans="1:9" x14ac:dyDescent="0.3">
      <c r="A12" t="s">
        <v>57</v>
      </c>
      <c r="B12" s="5" t="s">
        <v>163</v>
      </c>
      <c r="C12" s="5" t="s">
        <v>164</v>
      </c>
      <c r="D12" s="5" t="s">
        <v>165</v>
      </c>
      <c r="E12" s="15" t="s">
        <v>166</v>
      </c>
      <c r="F12" s="14">
        <v>2</v>
      </c>
      <c r="G12" s="5" t="s">
        <v>161</v>
      </c>
      <c r="H12" s="5" t="s">
        <v>158</v>
      </c>
      <c r="I12" s="5" t="s">
        <v>167</v>
      </c>
    </row>
    <row r="13" spans="1:9" x14ac:dyDescent="0.3">
      <c r="A13" t="s">
        <v>57</v>
      </c>
      <c r="B13" s="5" t="s">
        <v>168</v>
      </c>
      <c r="C13" s="5" t="s">
        <v>169</v>
      </c>
      <c r="D13" s="5" t="s">
        <v>170</v>
      </c>
      <c r="E13" s="13" t="s">
        <v>134</v>
      </c>
      <c r="F13" s="14">
        <v>8</v>
      </c>
      <c r="G13" s="5" t="s">
        <v>161</v>
      </c>
      <c r="H13" s="5" t="s">
        <v>158</v>
      </c>
      <c r="I13" s="5" t="s">
        <v>171</v>
      </c>
    </row>
    <row r="14" spans="1:9" x14ac:dyDescent="0.3">
      <c r="A14" t="s">
        <v>57</v>
      </c>
      <c r="B14" s="5" t="s">
        <v>172</v>
      </c>
      <c r="C14" s="5" t="s">
        <v>173</v>
      </c>
      <c r="D14" s="5" t="s">
        <v>174</v>
      </c>
      <c r="E14" s="13" t="s">
        <v>134</v>
      </c>
      <c r="F14" s="14">
        <v>4</v>
      </c>
      <c r="G14" s="5" t="s">
        <v>161</v>
      </c>
      <c r="H14" s="5" t="s">
        <v>168</v>
      </c>
      <c r="I14" s="5" t="s">
        <v>175</v>
      </c>
    </row>
    <row r="15" spans="1:9" x14ac:dyDescent="0.3">
      <c r="A15" t="s">
        <v>57</v>
      </c>
      <c r="B15" s="5" t="s">
        <v>176</v>
      </c>
      <c r="C15" s="5" t="s">
        <v>177</v>
      </c>
      <c r="D15" s="5" t="s">
        <v>178</v>
      </c>
      <c r="E15" s="15" t="s">
        <v>166</v>
      </c>
      <c r="F15" s="14">
        <v>3</v>
      </c>
      <c r="G15" s="5" t="s">
        <v>161</v>
      </c>
      <c r="H15" s="5" t="s">
        <v>168</v>
      </c>
      <c r="I15" s="5" t="s">
        <v>179</v>
      </c>
    </row>
    <row r="16" spans="1:9" x14ac:dyDescent="0.3">
      <c r="A16" t="s">
        <v>57</v>
      </c>
      <c r="B16" s="5" t="s">
        <v>180</v>
      </c>
      <c r="C16" s="5" t="s">
        <v>181</v>
      </c>
      <c r="D16" s="5" t="s">
        <v>182</v>
      </c>
      <c r="E16" s="13" t="s">
        <v>134</v>
      </c>
      <c r="F16" s="14">
        <v>4</v>
      </c>
      <c r="G16" s="5" t="s">
        <v>183</v>
      </c>
      <c r="H16" s="5" t="s">
        <v>154</v>
      </c>
      <c r="I16" s="5" t="s">
        <v>184</v>
      </c>
    </row>
    <row r="17" spans="1:9" x14ac:dyDescent="0.3">
      <c r="A17" t="s">
        <v>57</v>
      </c>
      <c r="B17" s="5" t="s">
        <v>185</v>
      </c>
      <c r="C17" s="5" t="s">
        <v>186</v>
      </c>
      <c r="D17" s="5" t="s">
        <v>187</v>
      </c>
      <c r="E17" s="13" t="s">
        <v>134</v>
      </c>
      <c r="F17" s="14">
        <v>2</v>
      </c>
      <c r="G17" s="5" t="s">
        <v>183</v>
      </c>
      <c r="H17" s="5" t="s">
        <v>180</v>
      </c>
      <c r="I17" s="5" t="s">
        <v>188</v>
      </c>
    </row>
    <row r="18" spans="1:9" x14ac:dyDescent="0.3">
      <c r="A18" t="s">
        <v>57</v>
      </c>
      <c r="B18" s="5" t="s">
        <v>189</v>
      </c>
      <c r="C18" s="5" t="s">
        <v>190</v>
      </c>
      <c r="D18" s="5" t="s">
        <v>191</v>
      </c>
      <c r="E18" s="13" t="s">
        <v>134</v>
      </c>
      <c r="F18" s="14">
        <v>2</v>
      </c>
      <c r="G18" s="5" t="s">
        <v>183</v>
      </c>
      <c r="H18" s="5" t="s">
        <v>180</v>
      </c>
      <c r="I18" s="5" t="s">
        <v>192</v>
      </c>
    </row>
    <row r="19" spans="1:9" x14ac:dyDescent="0.3">
      <c r="A19" t="s">
        <v>57</v>
      </c>
      <c r="B19" s="5" t="s">
        <v>193</v>
      </c>
      <c r="C19" s="5" t="s">
        <v>194</v>
      </c>
      <c r="D19" s="5" t="s">
        <v>195</v>
      </c>
      <c r="E19" s="15" t="s">
        <v>166</v>
      </c>
      <c r="F19" s="14">
        <v>2</v>
      </c>
      <c r="G19" s="5" t="s">
        <v>183</v>
      </c>
      <c r="H19" s="5" t="s">
        <v>180</v>
      </c>
      <c r="I19" s="5" t="s">
        <v>196</v>
      </c>
    </row>
    <row r="20" spans="1:9" x14ac:dyDescent="0.3">
      <c r="A20" t="s">
        <v>57</v>
      </c>
      <c r="B20" s="5" t="s">
        <v>197</v>
      </c>
      <c r="C20" s="5" t="s">
        <v>198</v>
      </c>
      <c r="D20" s="5" t="s">
        <v>199</v>
      </c>
      <c r="E20" s="15" t="s">
        <v>166</v>
      </c>
      <c r="F20" s="14">
        <v>4</v>
      </c>
      <c r="G20" s="5" t="s">
        <v>183</v>
      </c>
      <c r="H20" s="5" t="s">
        <v>193</v>
      </c>
      <c r="I20" s="5" t="s">
        <v>200</v>
      </c>
    </row>
    <row r="21" spans="1:9" x14ac:dyDescent="0.3">
      <c r="A21" t="s">
        <v>57</v>
      </c>
      <c r="B21" s="5" t="s">
        <v>201</v>
      </c>
      <c r="C21" s="5" t="s">
        <v>202</v>
      </c>
      <c r="D21" s="5" t="s">
        <v>203</v>
      </c>
      <c r="E21" s="15" t="s">
        <v>166</v>
      </c>
      <c r="F21" s="14">
        <v>2</v>
      </c>
      <c r="G21" s="5" t="s">
        <v>183</v>
      </c>
      <c r="H21" s="5" t="s">
        <v>197</v>
      </c>
      <c r="I21" s="5" t="s">
        <v>204</v>
      </c>
    </row>
    <row r="22" spans="1:9" x14ac:dyDescent="0.3">
      <c r="A22" t="s">
        <v>57</v>
      </c>
      <c r="B22" s="5" t="s">
        <v>205</v>
      </c>
      <c r="C22" s="5" t="s">
        <v>206</v>
      </c>
      <c r="D22" s="5" t="s">
        <v>207</v>
      </c>
      <c r="E22" s="13" t="s">
        <v>134</v>
      </c>
      <c r="F22" s="14">
        <v>4</v>
      </c>
      <c r="G22" s="5" t="s">
        <v>208</v>
      </c>
      <c r="H22" s="5" t="s">
        <v>154</v>
      </c>
      <c r="I22" s="5" t="s">
        <v>209</v>
      </c>
    </row>
    <row r="23" spans="1:9" x14ac:dyDescent="0.3">
      <c r="A23" t="s">
        <v>57</v>
      </c>
      <c r="B23" s="5" t="s">
        <v>210</v>
      </c>
      <c r="C23" s="5" t="s">
        <v>211</v>
      </c>
      <c r="D23" s="5" t="s">
        <v>212</v>
      </c>
      <c r="E23" s="13" t="s">
        <v>134</v>
      </c>
      <c r="F23" s="14">
        <v>4</v>
      </c>
      <c r="G23" s="5" t="s">
        <v>208</v>
      </c>
      <c r="H23" s="5" t="s">
        <v>154</v>
      </c>
      <c r="I23" s="5" t="s">
        <v>213</v>
      </c>
    </row>
    <row r="24" spans="1:9" x14ac:dyDescent="0.3">
      <c r="A24" t="s">
        <v>57</v>
      </c>
      <c r="B24" s="5" t="s">
        <v>214</v>
      </c>
      <c r="C24" s="5" t="s">
        <v>215</v>
      </c>
      <c r="D24" s="5" t="s">
        <v>216</v>
      </c>
      <c r="E24" s="15" t="s">
        <v>166</v>
      </c>
      <c r="F24" s="14">
        <v>1</v>
      </c>
      <c r="G24" s="5" t="s">
        <v>208</v>
      </c>
      <c r="H24" s="5" t="s">
        <v>205</v>
      </c>
      <c r="I24" s="5" t="s">
        <v>217</v>
      </c>
    </row>
    <row r="25" spans="1:9" x14ac:dyDescent="0.3">
      <c r="A25" t="s">
        <v>57</v>
      </c>
      <c r="B25" s="5" t="s">
        <v>218</v>
      </c>
      <c r="C25" s="5" t="s">
        <v>219</v>
      </c>
      <c r="D25" s="5" t="s">
        <v>220</v>
      </c>
      <c r="E25" s="15" t="s">
        <v>166</v>
      </c>
      <c r="F25" s="14">
        <v>6</v>
      </c>
      <c r="G25" s="5" t="s">
        <v>208</v>
      </c>
      <c r="H25" s="5" t="s">
        <v>214</v>
      </c>
      <c r="I25" s="5" t="s">
        <v>221</v>
      </c>
    </row>
    <row r="26" spans="1:9" x14ac:dyDescent="0.3">
      <c r="A26" t="s">
        <v>57</v>
      </c>
      <c r="B26" s="5" t="s">
        <v>222</v>
      </c>
      <c r="C26" s="5" t="s">
        <v>223</v>
      </c>
      <c r="D26" s="5" t="s">
        <v>224</v>
      </c>
      <c r="E26" s="15" t="s">
        <v>166</v>
      </c>
      <c r="F26" s="14">
        <v>4</v>
      </c>
      <c r="G26" s="5" t="s">
        <v>208</v>
      </c>
      <c r="H26" s="5" t="s">
        <v>218</v>
      </c>
      <c r="I26" s="5" t="s">
        <v>225</v>
      </c>
    </row>
    <row r="27" spans="1:9" x14ac:dyDescent="0.3">
      <c r="A27" t="s">
        <v>57</v>
      </c>
      <c r="B27" s="5" t="s">
        <v>226</v>
      </c>
      <c r="C27" s="5" t="s">
        <v>227</v>
      </c>
      <c r="D27" s="5" t="s">
        <v>228</v>
      </c>
      <c r="E27" s="5" t="s">
        <v>229</v>
      </c>
      <c r="F27" s="14">
        <v>4</v>
      </c>
      <c r="G27" s="5" t="s">
        <v>208</v>
      </c>
      <c r="H27" s="5" t="s">
        <v>218</v>
      </c>
      <c r="I27" s="5" t="s">
        <v>230</v>
      </c>
    </row>
    <row r="28" spans="1:9" x14ac:dyDescent="0.3">
      <c r="A28" t="s">
        <v>57</v>
      </c>
      <c r="B28" s="5" t="s">
        <v>231</v>
      </c>
      <c r="C28" s="5" t="s">
        <v>232</v>
      </c>
      <c r="D28" s="5" t="s">
        <v>233</v>
      </c>
      <c r="E28" s="15" t="s">
        <v>166</v>
      </c>
      <c r="F28" s="14">
        <v>3</v>
      </c>
      <c r="G28" s="5" t="s">
        <v>208</v>
      </c>
      <c r="H28" s="5" t="s">
        <v>218</v>
      </c>
      <c r="I28" s="5" t="s">
        <v>234</v>
      </c>
    </row>
    <row r="29" spans="1:9" x14ac:dyDescent="0.3">
      <c r="A29" t="s">
        <v>57</v>
      </c>
      <c r="B29" s="5" t="s">
        <v>235</v>
      </c>
      <c r="C29" s="5" t="s">
        <v>236</v>
      </c>
      <c r="D29" s="5" t="s">
        <v>237</v>
      </c>
      <c r="E29" s="13" t="s">
        <v>134</v>
      </c>
      <c r="F29" s="14">
        <v>4</v>
      </c>
      <c r="G29" s="5" t="s">
        <v>208</v>
      </c>
      <c r="H29" s="5" t="s">
        <v>231</v>
      </c>
      <c r="I29" s="5" t="s">
        <v>238</v>
      </c>
    </row>
    <row r="30" spans="1:9" x14ac:dyDescent="0.3">
      <c r="A30" t="s">
        <v>57</v>
      </c>
      <c r="B30" s="5" t="s">
        <v>239</v>
      </c>
      <c r="C30" s="5" t="s">
        <v>240</v>
      </c>
      <c r="D30" s="5" t="s">
        <v>241</v>
      </c>
      <c r="E30" s="15" t="s">
        <v>166</v>
      </c>
      <c r="F30" s="14">
        <v>3</v>
      </c>
      <c r="G30" s="5" t="s">
        <v>208</v>
      </c>
      <c r="H30" s="5" t="s">
        <v>235</v>
      </c>
      <c r="I30" s="5" t="s">
        <v>242</v>
      </c>
    </row>
    <row r="31" spans="1:9" x14ac:dyDescent="0.3">
      <c r="A31" t="s">
        <v>57</v>
      </c>
      <c r="B31" s="5" t="s">
        <v>243</v>
      </c>
      <c r="C31" s="5" t="s">
        <v>244</v>
      </c>
      <c r="D31" s="5" t="s">
        <v>245</v>
      </c>
      <c r="E31" s="15" t="s">
        <v>166</v>
      </c>
      <c r="F31" s="14">
        <v>3</v>
      </c>
      <c r="G31" s="5" t="s">
        <v>208</v>
      </c>
      <c r="H31" s="5" t="s">
        <v>235</v>
      </c>
      <c r="I31" s="5" t="s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42"/>
  <sheetViews>
    <sheetView topLeftCell="B26" workbookViewId="0">
      <selection activeCell="I9" sqref="I9"/>
    </sheetView>
  </sheetViews>
  <sheetFormatPr defaultRowHeight="14.4" x14ac:dyDescent="0.3"/>
  <cols>
    <col min="1" max="1" width="5" customWidth="1"/>
    <col min="2" max="2" width="10" customWidth="1"/>
    <col min="3" max="3" width="25" customWidth="1"/>
    <col min="4" max="4" width="40" customWidth="1"/>
    <col min="5" max="5" width="10" customWidth="1"/>
    <col min="6" max="7" width="8" customWidth="1"/>
    <col min="8" max="8" width="15" customWidth="1"/>
    <col min="9" max="9" width="30" customWidth="1"/>
  </cols>
  <sheetData>
    <row r="1" spans="1:9" ht="18" x14ac:dyDescent="0.35">
      <c r="A1" s="2" t="s">
        <v>247</v>
      </c>
    </row>
    <row r="2" spans="1:9" x14ac:dyDescent="0.3">
      <c r="A2" t="s">
        <v>248</v>
      </c>
    </row>
    <row r="4" spans="1:9" x14ac:dyDescent="0.3">
      <c r="A4" s="6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48</v>
      </c>
      <c r="H4" s="6" t="s">
        <v>129</v>
      </c>
      <c r="I4" s="6" t="s">
        <v>130</v>
      </c>
    </row>
    <row r="5" spans="1:9" x14ac:dyDescent="0.3">
      <c r="A5" t="s">
        <v>57</v>
      </c>
      <c r="B5" s="5" t="s">
        <v>249</v>
      </c>
      <c r="C5" s="5" t="s">
        <v>250</v>
      </c>
      <c r="D5" s="5" t="s">
        <v>251</v>
      </c>
      <c r="E5" s="13" t="s">
        <v>134</v>
      </c>
      <c r="F5" s="14">
        <v>4</v>
      </c>
      <c r="G5" s="5" t="s">
        <v>252</v>
      </c>
      <c r="H5" s="5" t="s">
        <v>243</v>
      </c>
      <c r="I5" s="5" t="s">
        <v>253</v>
      </c>
    </row>
    <row r="6" spans="1:9" x14ac:dyDescent="0.3">
      <c r="A6" t="s">
        <v>57</v>
      </c>
      <c r="B6" s="5" t="s">
        <v>254</v>
      </c>
      <c r="C6" s="5" t="s">
        <v>255</v>
      </c>
      <c r="D6" s="5" t="s">
        <v>256</v>
      </c>
      <c r="E6" s="13" t="s">
        <v>134</v>
      </c>
      <c r="F6" s="14">
        <v>2</v>
      </c>
      <c r="G6" s="5" t="s">
        <v>252</v>
      </c>
      <c r="H6" s="5" t="s">
        <v>249</v>
      </c>
      <c r="I6" s="5" t="s">
        <v>257</v>
      </c>
    </row>
    <row r="7" spans="1:9" x14ac:dyDescent="0.3">
      <c r="A7" t="s">
        <v>57</v>
      </c>
      <c r="B7" s="5" t="s">
        <v>258</v>
      </c>
      <c r="C7" s="5" t="s">
        <v>259</v>
      </c>
      <c r="D7" s="5" t="s">
        <v>260</v>
      </c>
      <c r="E7" s="13" t="s">
        <v>134</v>
      </c>
      <c r="F7" s="14">
        <v>4</v>
      </c>
      <c r="G7" s="5" t="s">
        <v>252</v>
      </c>
      <c r="H7" s="5" t="s">
        <v>254</v>
      </c>
      <c r="I7" s="5" t="s">
        <v>261</v>
      </c>
    </row>
    <row r="8" spans="1:9" x14ac:dyDescent="0.3">
      <c r="A8" t="s">
        <v>57</v>
      </c>
      <c r="B8" s="5" t="s">
        <v>262</v>
      </c>
      <c r="C8" s="5" t="s">
        <v>263</v>
      </c>
      <c r="D8" s="5" t="s">
        <v>264</v>
      </c>
      <c r="E8" s="13" t="s">
        <v>134</v>
      </c>
      <c r="F8" s="14">
        <v>8</v>
      </c>
      <c r="G8" s="5" t="s">
        <v>252</v>
      </c>
      <c r="H8" s="5" t="s">
        <v>258</v>
      </c>
      <c r="I8" s="5" t="s">
        <v>265</v>
      </c>
    </row>
    <row r="9" spans="1:9" x14ac:dyDescent="0.3">
      <c r="A9" t="s">
        <v>57</v>
      </c>
      <c r="B9" s="5" t="s">
        <v>266</v>
      </c>
      <c r="C9" s="5" t="s">
        <v>267</v>
      </c>
      <c r="D9" s="5" t="s">
        <v>268</v>
      </c>
      <c r="E9" s="13" t="s">
        <v>134</v>
      </c>
      <c r="F9" s="14">
        <v>6</v>
      </c>
      <c r="G9" s="5" t="s">
        <v>252</v>
      </c>
      <c r="H9" s="5" t="s">
        <v>249</v>
      </c>
      <c r="I9" s="5" t="s">
        <v>269</v>
      </c>
    </row>
    <row r="10" spans="1:9" x14ac:dyDescent="0.3">
      <c r="A10" t="s">
        <v>57</v>
      </c>
      <c r="B10" s="5" t="s">
        <v>270</v>
      </c>
      <c r="C10" s="5" t="s">
        <v>271</v>
      </c>
      <c r="D10" s="5" t="s">
        <v>272</v>
      </c>
      <c r="E10" s="13" t="s">
        <v>134</v>
      </c>
      <c r="F10" s="14">
        <v>4</v>
      </c>
      <c r="G10" s="5" t="s">
        <v>252</v>
      </c>
      <c r="H10" s="5" t="s">
        <v>266</v>
      </c>
      <c r="I10" s="5" t="s">
        <v>273</v>
      </c>
    </row>
    <row r="11" spans="1:9" x14ac:dyDescent="0.3">
      <c r="A11" t="s">
        <v>57</v>
      </c>
      <c r="B11" s="5" t="s">
        <v>274</v>
      </c>
      <c r="C11" s="5" t="s">
        <v>275</v>
      </c>
      <c r="D11" s="5" t="s">
        <v>276</v>
      </c>
      <c r="E11" s="13" t="s">
        <v>134</v>
      </c>
      <c r="F11" s="14">
        <v>4</v>
      </c>
      <c r="G11" s="5" t="s">
        <v>252</v>
      </c>
      <c r="H11" s="5" t="s">
        <v>262</v>
      </c>
      <c r="I11" s="5" t="s">
        <v>277</v>
      </c>
    </row>
    <row r="12" spans="1:9" x14ac:dyDescent="0.3">
      <c r="A12" t="s">
        <v>57</v>
      </c>
      <c r="B12" s="5" t="s">
        <v>278</v>
      </c>
      <c r="C12" s="5" t="s">
        <v>279</v>
      </c>
      <c r="D12" s="5" t="s">
        <v>280</v>
      </c>
      <c r="E12" s="13" t="s">
        <v>134</v>
      </c>
      <c r="F12" s="14">
        <v>3</v>
      </c>
      <c r="G12" s="5" t="s">
        <v>252</v>
      </c>
      <c r="H12" s="5" t="s">
        <v>262</v>
      </c>
      <c r="I12" s="5" t="s">
        <v>281</v>
      </c>
    </row>
    <row r="13" spans="1:9" x14ac:dyDescent="0.3">
      <c r="A13" t="s">
        <v>57</v>
      </c>
      <c r="B13" s="5" t="s">
        <v>282</v>
      </c>
      <c r="C13" s="5" t="s">
        <v>283</v>
      </c>
      <c r="D13" s="5" t="s">
        <v>284</v>
      </c>
      <c r="E13" s="13" t="s">
        <v>134</v>
      </c>
      <c r="F13" s="14">
        <v>6</v>
      </c>
      <c r="G13" s="5" t="s">
        <v>285</v>
      </c>
      <c r="H13" s="5" t="s">
        <v>278</v>
      </c>
      <c r="I13" s="5" t="s">
        <v>286</v>
      </c>
    </row>
    <row r="14" spans="1:9" x14ac:dyDescent="0.3">
      <c r="A14" t="s">
        <v>57</v>
      </c>
      <c r="B14" s="5" t="s">
        <v>287</v>
      </c>
      <c r="C14" s="5" t="s">
        <v>288</v>
      </c>
      <c r="D14" s="5" t="s">
        <v>289</v>
      </c>
      <c r="E14" s="13" t="s">
        <v>134</v>
      </c>
      <c r="F14" s="14">
        <v>4</v>
      </c>
      <c r="G14" s="5" t="s">
        <v>285</v>
      </c>
      <c r="H14" s="5" t="s">
        <v>282</v>
      </c>
      <c r="I14" s="5" t="s">
        <v>290</v>
      </c>
    </row>
    <row r="15" spans="1:9" x14ac:dyDescent="0.3">
      <c r="A15" t="s">
        <v>57</v>
      </c>
      <c r="B15" s="5" t="s">
        <v>291</v>
      </c>
      <c r="C15" s="5" t="s">
        <v>292</v>
      </c>
      <c r="D15" s="5" t="s">
        <v>293</v>
      </c>
      <c r="E15" s="13" t="s">
        <v>134</v>
      </c>
      <c r="F15" s="14">
        <v>4</v>
      </c>
      <c r="G15" s="5" t="s">
        <v>285</v>
      </c>
      <c r="H15" s="5" t="s">
        <v>282</v>
      </c>
      <c r="I15" s="5" t="s">
        <v>294</v>
      </c>
    </row>
    <row r="16" spans="1:9" x14ac:dyDescent="0.3">
      <c r="A16" t="s">
        <v>57</v>
      </c>
      <c r="B16" s="5" t="s">
        <v>295</v>
      </c>
      <c r="C16" s="5" t="s">
        <v>296</v>
      </c>
      <c r="D16" s="5" t="s">
        <v>297</v>
      </c>
      <c r="E16" s="13" t="s">
        <v>134</v>
      </c>
      <c r="F16" s="14">
        <v>5</v>
      </c>
      <c r="G16" s="5" t="s">
        <v>285</v>
      </c>
      <c r="H16" s="5" t="s">
        <v>291</v>
      </c>
      <c r="I16" s="5" t="s">
        <v>298</v>
      </c>
    </row>
    <row r="17" spans="1:9" x14ac:dyDescent="0.3">
      <c r="A17" t="s">
        <v>57</v>
      </c>
      <c r="B17" s="5" t="s">
        <v>299</v>
      </c>
      <c r="C17" s="5" t="s">
        <v>300</v>
      </c>
      <c r="D17" s="5" t="s">
        <v>301</v>
      </c>
      <c r="E17" s="13" t="s">
        <v>134</v>
      </c>
      <c r="F17" s="14">
        <v>6</v>
      </c>
      <c r="G17" s="5" t="s">
        <v>285</v>
      </c>
      <c r="H17" s="5" t="s">
        <v>295</v>
      </c>
      <c r="I17" s="5" t="s">
        <v>302</v>
      </c>
    </row>
    <row r="18" spans="1:9" x14ac:dyDescent="0.3">
      <c r="A18" t="s">
        <v>57</v>
      </c>
      <c r="B18" s="5" t="s">
        <v>303</v>
      </c>
      <c r="C18" s="5" t="s">
        <v>304</v>
      </c>
      <c r="D18" s="5" t="s">
        <v>305</v>
      </c>
      <c r="E18" s="15" t="s">
        <v>166</v>
      </c>
      <c r="F18" s="14">
        <v>3</v>
      </c>
      <c r="G18" s="5" t="s">
        <v>285</v>
      </c>
      <c r="H18" s="5" t="s">
        <v>291</v>
      </c>
      <c r="I18" s="5" t="s">
        <v>306</v>
      </c>
    </row>
    <row r="19" spans="1:9" x14ac:dyDescent="0.3">
      <c r="A19" t="s">
        <v>57</v>
      </c>
      <c r="B19" s="5" t="s">
        <v>307</v>
      </c>
      <c r="C19" s="5" t="s">
        <v>308</v>
      </c>
      <c r="D19" s="5" t="s">
        <v>309</v>
      </c>
      <c r="E19" s="15" t="s">
        <v>166</v>
      </c>
      <c r="F19" s="14">
        <v>3</v>
      </c>
      <c r="G19" s="5" t="s">
        <v>285</v>
      </c>
      <c r="H19" s="5" t="s">
        <v>291</v>
      </c>
      <c r="I19" s="5" t="s">
        <v>310</v>
      </c>
    </row>
    <row r="20" spans="1:9" x14ac:dyDescent="0.3">
      <c r="A20" t="s">
        <v>57</v>
      </c>
      <c r="B20" s="5" t="s">
        <v>311</v>
      </c>
      <c r="C20" s="5" t="s">
        <v>312</v>
      </c>
      <c r="D20" s="5" t="s">
        <v>313</v>
      </c>
      <c r="E20" s="13" t="s">
        <v>134</v>
      </c>
      <c r="F20" s="14">
        <v>4</v>
      </c>
      <c r="G20" s="5" t="s">
        <v>285</v>
      </c>
      <c r="H20" s="5" t="s">
        <v>249</v>
      </c>
      <c r="I20" s="5" t="s">
        <v>314</v>
      </c>
    </row>
    <row r="21" spans="1:9" x14ac:dyDescent="0.3">
      <c r="A21" t="s">
        <v>57</v>
      </c>
      <c r="B21" s="5" t="s">
        <v>315</v>
      </c>
      <c r="C21" s="5" t="s">
        <v>316</v>
      </c>
      <c r="D21" s="5" t="s">
        <v>317</v>
      </c>
      <c r="E21" s="13" t="s">
        <v>134</v>
      </c>
      <c r="F21" s="14">
        <v>3</v>
      </c>
      <c r="G21" s="5" t="s">
        <v>318</v>
      </c>
      <c r="H21" s="5" t="s">
        <v>258</v>
      </c>
      <c r="I21" s="5" t="s">
        <v>319</v>
      </c>
    </row>
    <row r="22" spans="1:9" x14ac:dyDescent="0.3">
      <c r="A22" t="s">
        <v>57</v>
      </c>
      <c r="B22" s="5" t="s">
        <v>320</v>
      </c>
      <c r="C22" s="5" t="s">
        <v>321</v>
      </c>
      <c r="D22" s="5" t="s">
        <v>322</v>
      </c>
      <c r="E22" s="13" t="s">
        <v>134</v>
      </c>
      <c r="F22" s="14">
        <v>4</v>
      </c>
      <c r="G22" s="5" t="s">
        <v>318</v>
      </c>
      <c r="H22" s="5" t="s">
        <v>315</v>
      </c>
      <c r="I22" s="5" t="s">
        <v>323</v>
      </c>
    </row>
    <row r="23" spans="1:9" x14ac:dyDescent="0.3">
      <c r="A23" t="s">
        <v>57</v>
      </c>
      <c r="B23" s="5" t="s">
        <v>324</v>
      </c>
      <c r="C23" s="5" t="s">
        <v>325</v>
      </c>
      <c r="D23" s="5" t="s">
        <v>326</v>
      </c>
      <c r="E23" s="13" t="s">
        <v>134</v>
      </c>
      <c r="F23" s="14">
        <v>4</v>
      </c>
      <c r="G23" s="5" t="s">
        <v>318</v>
      </c>
      <c r="H23" s="5" t="s">
        <v>315</v>
      </c>
      <c r="I23" s="5" t="s">
        <v>327</v>
      </c>
    </row>
    <row r="24" spans="1:9" x14ac:dyDescent="0.3">
      <c r="A24" t="s">
        <v>57</v>
      </c>
      <c r="B24" s="5" t="s">
        <v>328</v>
      </c>
      <c r="C24" s="5" t="s">
        <v>329</v>
      </c>
      <c r="D24" s="5" t="s">
        <v>330</v>
      </c>
      <c r="E24" s="15" t="s">
        <v>166</v>
      </c>
      <c r="F24" s="14">
        <v>2</v>
      </c>
      <c r="G24" s="5" t="s">
        <v>318</v>
      </c>
      <c r="H24" s="5" t="s">
        <v>315</v>
      </c>
      <c r="I24" s="5" t="s">
        <v>331</v>
      </c>
    </row>
    <row r="25" spans="1:9" x14ac:dyDescent="0.3">
      <c r="A25" t="s">
        <v>57</v>
      </c>
      <c r="B25" s="5" t="s">
        <v>332</v>
      </c>
      <c r="C25" s="5" t="s">
        <v>333</v>
      </c>
      <c r="D25" s="5" t="s">
        <v>334</v>
      </c>
      <c r="E25" s="15" t="s">
        <v>166</v>
      </c>
      <c r="F25" s="14">
        <v>3</v>
      </c>
      <c r="G25" s="5" t="s">
        <v>318</v>
      </c>
      <c r="H25" s="5" t="s">
        <v>328</v>
      </c>
      <c r="I25" s="5" t="s">
        <v>335</v>
      </c>
    </row>
    <row r="26" spans="1:9" x14ac:dyDescent="0.3">
      <c r="A26" t="s">
        <v>57</v>
      </c>
      <c r="B26" s="5" t="s">
        <v>336</v>
      </c>
      <c r="C26" s="5" t="s">
        <v>337</v>
      </c>
      <c r="D26" s="5" t="s">
        <v>338</v>
      </c>
      <c r="E26" s="13" t="s">
        <v>134</v>
      </c>
      <c r="F26" s="14">
        <v>4</v>
      </c>
      <c r="G26" s="5" t="s">
        <v>318</v>
      </c>
      <c r="H26" s="5" t="s">
        <v>249</v>
      </c>
      <c r="I26" s="5" t="s">
        <v>339</v>
      </c>
    </row>
    <row r="27" spans="1:9" x14ac:dyDescent="0.3">
      <c r="A27" t="s">
        <v>57</v>
      </c>
      <c r="B27" s="5" t="s">
        <v>340</v>
      </c>
      <c r="C27" s="5" t="s">
        <v>341</v>
      </c>
      <c r="D27" s="5" t="s">
        <v>342</v>
      </c>
      <c r="E27" s="15" t="s">
        <v>166</v>
      </c>
      <c r="F27" s="14">
        <v>5</v>
      </c>
      <c r="G27" s="5" t="s">
        <v>318</v>
      </c>
      <c r="H27" s="5" t="s">
        <v>332</v>
      </c>
      <c r="I27" s="5" t="s">
        <v>343</v>
      </c>
    </row>
    <row r="28" spans="1:9" x14ac:dyDescent="0.3">
      <c r="A28" t="s">
        <v>57</v>
      </c>
      <c r="B28" s="5" t="s">
        <v>344</v>
      </c>
      <c r="C28" s="5" t="s">
        <v>345</v>
      </c>
      <c r="D28" s="5" t="s">
        <v>346</v>
      </c>
      <c r="E28" s="13" t="s">
        <v>134</v>
      </c>
      <c r="F28" s="14">
        <v>3</v>
      </c>
      <c r="G28" s="5" t="s">
        <v>347</v>
      </c>
      <c r="H28" s="5" t="s">
        <v>258</v>
      </c>
      <c r="I28" s="5" t="s">
        <v>348</v>
      </c>
    </row>
    <row r="29" spans="1:9" x14ac:dyDescent="0.3">
      <c r="A29" t="s">
        <v>57</v>
      </c>
      <c r="B29" s="5" t="s">
        <v>349</v>
      </c>
      <c r="C29" s="5" t="s">
        <v>350</v>
      </c>
      <c r="D29" s="5" t="s">
        <v>351</v>
      </c>
      <c r="E29" s="15" t="s">
        <v>166</v>
      </c>
      <c r="F29" s="14">
        <v>3</v>
      </c>
      <c r="G29" s="5" t="s">
        <v>347</v>
      </c>
      <c r="H29" s="5" t="s">
        <v>344</v>
      </c>
      <c r="I29" s="5" t="s">
        <v>352</v>
      </c>
    </row>
    <row r="30" spans="1:9" x14ac:dyDescent="0.3">
      <c r="A30" t="s">
        <v>57</v>
      </c>
      <c r="B30" s="5" t="s">
        <v>353</v>
      </c>
      <c r="C30" s="5" t="s">
        <v>354</v>
      </c>
      <c r="D30" s="5" t="s">
        <v>355</v>
      </c>
      <c r="E30" s="15" t="s">
        <v>166</v>
      </c>
      <c r="F30" s="14">
        <v>3</v>
      </c>
      <c r="G30" s="5" t="s">
        <v>347</v>
      </c>
      <c r="H30" s="5" t="s">
        <v>311</v>
      </c>
      <c r="I30" s="5" t="s">
        <v>356</v>
      </c>
    </row>
    <row r="31" spans="1:9" x14ac:dyDescent="0.3">
      <c r="A31" t="s">
        <v>57</v>
      </c>
      <c r="B31" s="5" t="s">
        <v>357</v>
      </c>
      <c r="C31" s="5" t="s">
        <v>358</v>
      </c>
      <c r="D31" s="5" t="s">
        <v>359</v>
      </c>
      <c r="E31" s="15" t="s">
        <v>166</v>
      </c>
      <c r="F31" s="14">
        <v>5</v>
      </c>
      <c r="G31" s="5" t="s">
        <v>347</v>
      </c>
      <c r="H31" s="5" t="s">
        <v>344</v>
      </c>
      <c r="I31" s="5" t="s">
        <v>360</v>
      </c>
    </row>
    <row r="32" spans="1:9" x14ac:dyDescent="0.3">
      <c r="A32" t="s">
        <v>57</v>
      </c>
      <c r="B32" s="5" t="s">
        <v>361</v>
      </c>
      <c r="C32" s="5" t="s">
        <v>362</v>
      </c>
      <c r="D32" s="5" t="s">
        <v>363</v>
      </c>
      <c r="E32" s="5" t="s">
        <v>229</v>
      </c>
      <c r="F32" s="14">
        <v>4</v>
      </c>
      <c r="G32" s="5" t="s">
        <v>347</v>
      </c>
      <c r="H32" s="5" t="s">
        <v>344</v>
      </c>
      <c r="I32" s="5" t="s">
        <v>364</v>
      </c>
    </row>
    <row r="33" spans="1:9" x14ac:dyDescent="0.3">
      <c r="A33" t="s">
        <v>57</v>
      </c>
      <c r="B33" s="5" t="s">
        <v>365</v>
      </c>
      <c r="C33" s="5" t="s">
        <v>366</v>
      </c>
      <c r="D33" s="5" t="s">
        <v>367</v>
      </c>
      <c r="E33" s="13" t="s">
        <v>134</v>
      </c>
      <c r="F33" s="14">
        <v>3</v>
      </c>
      <c r="G33" s="5" t="s">
        <v>347</v>
      </c>
      <c r="H33" s="5" t="s">
        <v>258</v>
      </c>
      <c r="I33" s="5" t="s">
        <v>368</v>
      </c>
    </row>
    <row r="34" spans="1:9" x14ac:dyDescent="0.3">
      <c r="A34" t="s">
        <v>57</v>
      </c>
      <c r="B34" s="5" t="s">
        <v>369</v>
      </c>
      <c r="C34" s="5" t="s">
        <v>370</v>
      </c>
      <c r="D34" s="5" t="s">
        <v>371</v>
      </c>
      <c r="E34" s="13" t="s">
        <v>134</v>
      </c>
      <c r="F34" s="14">
        <v>6</v>
      </c>
      <c r="G34" s="5" t="s">
        <v>347</v>
      </c>
      <c r="H34" s="5" t="s">
        <v>365</v>
      </c>
      <c r="I34" s="5" t="s">
        <v>372</v>
      </c>
    </row>
    <row r="35" spans="1:9" x14ac:dyDescent="0.3">
      <c r="A35" t="s">
        <v>57</v>
      </c>
      <c r="B35" s="5" t="s">
        <v>373</v>
      </c>
      <c r="C35" s="5" t="s">
        <v>374</v>
      </c>
      <c r="D35" s="5" t="s">
        <v>375</v>
      </c>
      <c r="E35" s="15" t="s">
        <v>166</v>
      </c>
      <c r="F35" s="14">
        <v>5</v>
      </c>
      <c r="G35" s="5" t="s">
        <v>347</v>
      </c>
      <c r="H35" s="5" t="s">
        <v>365</v>
      </c>
      <c r="I35" s="5" t="s">
        <v>376</v>
      </c>
    </row>
    <row r="36" spans="1:9" x14ac:dyDescent="0.3">
      <c r="A36" t="s">
        <v>57</v>
      </c>
      <c r="B36" s="5" t="s">
        <v>377</v>
      </c>
      <c r="C36" s="5" t="s">
        <v>378</v>
      </c>
      <c r="D36" s="5" t="s">
        <v>379</v>
      </c>
      <c r="E36" s="13" t="s">
        <v>134</v>
      </c>
      <c r="F36" s="14">
        <v>4</v>
      </c>
      <c r="G36" s="5" t="s">
        <v>347</v>
      </c>
      <c r="H36" s="5" t="s">
        <v>373</v>
      </c>
      <c r="I36" s="5" t="s">
        <v>380</v>
      </c>
    </row>
    <row r="37" spans="1:9" x14ac:dyDescent="0.3">
      <c r="A37" t="s">
        <v>57</v>
      </c>
      <c r="B37" s="5" t="s">
        <v>381</v>
      </c>
      <c r="C37" s="5" t="s">
        <v>382</v>
      </c>
      <c r="D37" s="5" t="s">
        <v>383</v>
      </c>
      <c r="E37" s="13" t="s">
        <v>134</v>
      </c>
      <c r="F37" s="14">
        <v>3</v>
      </c>
      <c r="G37" s="5" t="s">
        <v>347</v>
      </c>
      <c r="H37" s="5" t="s">
        <v>249</v>
      </c>
      <c r="I37" s="5" t="s">
        <v>384</v>
      </c>
    </row>
    <row r="38" spans="1:9" x14ac:dyDescent="0.3">
      <c r="A38" t="s">
        <v>57</v>
      </c>
      <c r="B38" s="5" t="s">
        <v>385</v>
      </c>
      <c r="C38" s="5" t="s">
        <v>386</v>
      </c>
      <c r="D38" s="5" t="s">
        <v>387</v>
      </c>
      <c r="E38" s="15" t="s">
        <v>166</v>
      </c>
      <c r="F38" s="14">
        <v>2</v>
      </c>
      <c r="G38" s="5" t="s">
        <v>347</v>
      </c>
      <c r="H38" s="5" t="s">
        <v>249</v>
      </c>
      <c r="I38" s="5" t="s">
        <v>388</v>
      </c>
    </row>
    <row r="39" spans="1:9" x14ac:dyDescent="0.3">
      <c r="A39" t="s">
        <v>57</v>
      </c>
      <c r="B39" s="5" t="s">
        <v>389</v>
      </c>
      <c r="C39" s="5" t="s">
        <v>390</v>
      </c>
      <c r="D39" s="5" t="s">
        <v>391</v>
      </c>
      <c r="E39" s="15" t="s">
        <v>166</v>
      </c>
      <c r="F39" s="14">
        <v>2</v>
      </c>
      <c r="G39" s="5" t="s">
        <v>347</v>
      </c>
      <c r="H39" s="5" t="s">
        <v>249</v>
      </c>
      <c r="I39" s="5" t="s">
        <v>392</v>
      </c>
    </row>
    <row r="40" spans="1:9" x14ac:dyDescent="0.3">
      <c r="A40" t="s">
        <v>57</v>
      </c>
      <c r="B40" s="5" t="s">
        <v>393</v>
      </c>
      <c r="C40" s="5" t="s">
        <v>394</v>
      </c>
      <c r="D40" s="5" t="s">
        <v>395</v>
      </c>
      <c r="E40" s="13" t="s">
        <v>134</v>
      </c>
      <c r="F40" s="14">
        <v>8</v>
      </c>
      <c r="G40" s="5" t="s">
        <v>347</v>
      </c>
      <c r="H40" s="5" t="s">
        <v>389</v>
      </c>
      <c r="I40" s="5" t="s">
        <v>396</v>
      </c>
    </row>
    <row r="41" spans="1:9" x14ac:dyDescent="0.3">
      <c r="A41" t="s">
        <v>57</v>
      </c>
      <c r="B41" s="5" t="s">
        <v>397</v>
      </c>
      <c r="C41" s="5" t="s">
        <v>398</v>
      </c>
      <c r="D41" s="5" t="s">
        <v>399</v>
      </c>
      <c r="E41" s="13" t="s">
        <v>134</v>
      </c>
      <c r="F41" s="14">
        <v>6</v>
      </c>
      <c r="G41" s="5" t="s">
        <v>347</v>
      </c>
      <c r="H41" s="5" t="s">
        <v>393</v>
      </c>
      <c r="I41" s="5" t="s">
        <v>400</v>
      </c>
    </row>
    <row r="42" spans="1:9" x14ac:dyDescent="0.3">
      <c r="A42" t="s">
        <v>57</v>
      </c>
      <c r="B42" s="5" t="s">
        <v>401</v>
      </c>
      <c r="C42" s="5" t="s">
        <v>402</v>
      </c>
      <c r="D42" s="5" t="s">
        <v>403</v>
      </c>
      <c r="E42" s="15" t="s">
        <v>166</v>
      </c>
      <c r="F42" s="14">
        <v>4</v>
      </c>
      <c r="G42" s="5" t="s">
        <v>347</v>
      </c>
      <c r="H42" s="5" t="s">
        <v>397</v>
      </c>
      <c r="I42" s="5" t="s">
        <v>404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44"/>
  <sheetViews>
    <sheetView workbookViewId="0"/>
  </sheetViews>
  <sheetFormatPr defaultRowHeight="14.4" x14ac:dyDescent="0.3"/>
  <cols>
    <col min="1" max="1" width="5" customWidth="1"/>
    <col min="2" max="2" width="10" customWidth="1"/>
    <col min="3" max="3" width="25" customWidth="1"/>
    <col min="4" max="4" width="40" customWidth="1"/>
    <col min="5" max="5" width="10" customWidth="1"/>
    <col min="6" max="7" width="8" customWidth="1"/>
    <col min="8" max="8" width="15" customWidth="1"/>
    <col min="9" max="9" width="30" customWidth="1"/>
  </cols>
  <sheetData>
    <row r="1" spans="1:9" ht="18" x14ac:dyDescent="0.35">
      <c r="A1" s="2" t="s">
        <v>405</v>
      </c>
    </row>
    <row r="2" spans="1:9" x14ac:dyDescent="0.3">
      <c r="A2" t="s">
        <v>406</v>
      </c>
    </row>
    <row r="4" spans="1:9" x14ac:dyDescent="0.3">
      <c r="A4" s="6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48</v>
      </c>
      <c r="H4" s="6" t="s">
        <v>129</v>
      </c>
      <c r="I4" s="6" t="s">
        <v>130</v>
      </c>
    </row>
    <row r="5" spans="1:9" x14ac:dyDescent="0.3">
      <c r="A5" t="s">
        <v>57</v>
      </c>
      <c r="B5" s="5" t="s">
        <v>407</v>
      </c>
      <c r="C5" s="5" t="s">
        <v>250</v>
      </c>
      <c r="D5" s="5" t="s">
        <v>408</v>
      </c>
      <c r="E5" s="13" t="s">
        <v>134</v>
      </c>
      <c r="F5" s="14">
        <v>2</v>
      </c>
      <c r="G5" s="5" t="s">
        <v>409</v>
      </c>
      <c r="H5" s="5" t="s">
        <v>401</v>
      </c>
      <c r="I5" s="5" t="s">
        <v>410</v>
      </c>
    </row>
    <row r="6" spans="1:9" x14ac:dyDescent="0.3">
      <c r="A6" t="s">
        <v>57</v>
      </c>
      <c r="B6" s="5" t="s">
        <v>411</v>
      </c>
      <c r="C6" s="5" t="s">
        <v>412</v>
      </c>
      <c r="D6" s="5" t="s">
        <v>413</v>
      </c>
      <c r="E6" s="13" t="s">
        <v>134</v>
      </c>
      <c r="F6" s="14">
        <v>2</v>
      </c>
      <c r="G6" s="5" t="s">
        <v>409</v>
      </c>
      <c r="H6" s="5" t="s">
        <v>407</v>
      </c>
      <c r="I6" s="5" t="s">
        <v>414</v>
      </c>
    </row>
    <row r="7" spans="1:9" x14ac:dyDescent="0.3">
      <c r="A7" t="s">
        <v>57</v>
      </c>
      <c r="B7" s="5" t="s">
        <v>415</v>
      </c>
      <c r="C7" s="5" t="s">
        <v>416</v>
      </c>
      <c r="D7" s="5" t="s">
        <v>417</v>
      </c>
      <c r="E7" s="13" t="s">
        <v>134</v>
      </c>
      <c r="F7" s="14">
        <v>2</v>
      </c>
      <c r="G7" s="5" t="s">
        <v>409</v>
      </c>
      <c r="H7" s="5" t="s">
        <v>407</v>
      </c>
      <c r="I7" s="5" t="s">
        <v>418</v>
      </c>
    </row>
    <row r="8" spans="1:9" x14ac:dyDescent="0.3">
      <c r="A8" t="s">
        <v>57</v>
      </c>
      <c r="B8" s="5" t="s">
        <v>419</v>
      </c>
      <c r="C8" s="5" t="s">
        <v>420</v>
      </c>
      <c r="D8" s="5" t="s">
        <v>421</v>
      </c>
      <c r="E8" s="13" t="s">
        <v>134</v>
      </c>
      <c r="F8" s="14">
        <v>3</v>
      </c>
      <c r="G8" s="5" t="s">
        <v>409</v>
      </c>
      <c r="H8" s="5" t="s">
        <v>407</v>
      </c>
      <c r="I8" s="5" t="s">
        <v>422</v>
      </c>
    </row>
    <row r="9" spans="1:9" x14ac:dyDescent="0.3">
      <c r="A9" t="s">
        <v>57</v>
      </c>
      <c r="B9" s="5" t="s">
        <v>423</v>
      </c>
      <c r="C9" s="5" t="s">
        <v>424</v>
      </c>
      <c r="D9" s="5" t="s">
        <v>425</v>
      </c>
      <c r="E9" s="13" t="s">
        <v>134</v>
      </c>
      <c r="F9" s="14">
        <v>3</v>
      </c>
      <c r="G9" s="5" t="s">
        <v>409</v>
      </c>
      <c r="H9" s="5" t="s">
        <v>407</v>
      </c>
      <c r="I9" s="5" t="s">
        <v>426</v>
      </c>
    </row>
    <row r="10" spans="1:9" x14ac:dyDescent="0.3">
      <c r="A10" t="s">
        <v>57</v>
      </c>
      <c r="B10" s="5" t="s">
        <v>427</v>
      </c>
      <c r="C10" s="5" t="s">
        <v>428</v>
      </c>
      <c r="D10" s="5" t="s">
        <v>429</v>
      </c>
      <c r="E10" s="13" t="s">
        <v>134</v>
      </c>
      <c r="F10" s="14">
        <v>6</v>
      </c>
      <c r="G10" s="5" t="s">
        <v>409</v>
      </c>
      <c r="H10" s="5" t="s">
        <v>423</v>
      </c>
      <c r="I10" s="5" t="s">
        <v>430</v>
      </c>
    </row>
    <row r="11" spans="1:9" x14ac:dyDescent="0.3">
      <c r="A11" t="s">
        <v>57</v>
      </c>
      <c r="B11" s="5" t="s">
        <v>431</v>
      </c>
      <c r="C11" s="5" t="s">
        <v>432</v>
      </c>
      <c r="D11" s="5" t="s">
        <v>433</v>
      </c>
      <c r="E11" s="13" t="s">
        <v>134</v>
      </c>
      <c r="F11" s="14">
        <v>4</v>
      </c>
      <c r="G11" s="5" t="s">
        <v>409</v>
      </c>
      <c r="H11" s="5" t="s">
        <v>411</v>
      </c>
      <c r="I11" s="5" t="s">
        <v>434</v>
      </c>
    </row>
    <row r="12" spans="1:9" x14ac:dyDescent="0.3">
      <c r="A12" t="s">
        <v>57</v>
      </c>
      <c r="B12" s="5" t="s">
        <v>435</v>
      </c>
      <c r="C12" s="5" t="s">
        <v>436</v>
      </c>
      <c r="D12" s="5" t="s">
        <v>437</v>
      </c>
      <c r="E12" s="13" t="s">
        <v>134</v>
      </c>
      <c r="F12" s="14">
        <v>6</v>
      </c>
      <c r="G12" s="5" t="s">
        <v>409</v>
      </c>
      <c r="H12" s="5" t="s">
        <v>431</v>
      </c>
      <c r="I12" s="5" t="s">
        <v>438</v>
      </c>
    </row>
    <row r="13" spans="1:9" x14ac:dyDescent="0.3">
      <c r="A13" t="s">
        <v>57</v>
      </c>
      <c r="B13" s="5" t="s">
        <v>439</v>
      </c>
      <c r="C13" s="5" t="s">
        <v>440</v>
      </c>
      <c r="D13" s="5" t="s">
        <v>441</v>
      </c>
      <c r="E13" s="13" t="s">
        <v>134</v>
      </c>
      <c r="F13" s="14">
        <v>4</v>
      </c>
      <c r="G13" s="5" t="s">
        <v>409</v>
      </c>
      <c r="H13" s="5" t="s">
        <v>431</v>
      </c>
      <c r="I13" s="5" t="s">
        <v>442</v>
      </c>
    </row>
    <row r="14" spans="1:9" x14ac:dyDescent="0.3">
      <c r="A14" t="s">
        <v>57</v>
      </c>
      <c r="B14" s="5" t="s">
        <v>443</v>
      </c>
      <c r="C14" s="5" t="s">
        <v>444</v>
      </c>
      <c r="D14" s="5" t="s">
        <v>445</v>
      </c>
      <c r="E14" s="13" t="s">
        <v>134</v>
      </c>
      <c r="F14" s="14">
        <v>6</v>
      </c>
      <c r="G14" s="5" t="s">
        <v>409</v>
      </c>
      <c r="H14" s="5" t="s">
        <v>439</v>
      </c>
      <c r="I14" s="5" t="s">
        <v>446</v>
      </c>
    </row>
    <row r="15" spans="1:9" x14ac:dyDescent="0.3">
      <c r="A15" t="s">
        <v>57</v>
      </c>
      <c r="B15" s="5" t="s">
        <v>447</v>
      </c>
      <c r="C15" s="5" t="s">
        <v>448</v>
      </c>
      <c r="D15" s="5" t="s">
        <v>449</v>
      </c>
      <c r="E15" s="13" t="s">
        <v>134</v>
      </c>
      <c r="F15" s="14">
        <v>3</v>
      </c>
      <c r="G15" s="5" t="s">
        <v>450</v>
      </c>
      <c r="H15" s="5" t="s">
        <v>431</v>
      </c>
      <c r="I15" s="5" t="s">
        <v>451</v>
      </c>
    </row>
    <row r="16" spans="1:9" x14ac:dyDescent="0.3">
      <c r="A16" t="s">
        <v>57</v>
      </c>
      <c r="B16" s="5" t="s">
        <v>452</v>
      </c>
      <c r="C16" s="5" t="s">
        <v>453</v>
      </c>
      <c r="D16" s="5" t="s">
        <v>454</v>
      </c>
      <c r="E16" s="13" t="s">
        <v>134</v>
      </c>
      <c r="F16" s="14">
        <v>3</v>
      </c>
      <c r="G16" s="5" t="s">
        <v>450</v>
      </c>
      <c r="H16" s="5" t="s">
        <v>447</v>
      </c>
      <c r="I16" s="5" t="s">
        <v>455</v>
      </c>
    </row>
    <row r="17" spans="1:9" x14ac:dyDescent="0.3">
      <c r="A17" t="s">
        <v>57</v>
      </c>
      <c r="B17" s="5" t="s">
        <v>456</v>
      </c>
      <c r="C17" s="5" t="s">
        <v>457</v>
      </c>
      <c r="D17" s="5" t="s">
        <v>458</v>
      </c>
      <c r="E17" s="13" t="s">
        <v>134</v>
      </c>
      <c r="F17" s="14">
        <v>6</v>
      </c>
      <c r="G17" s="5" t="s">
        <v>450</v>
      </c>
      <c r="H17" s="5" t="s">
        <v>431</v>
      </c>
      <c r="I17" s="5" t="s">
        <v>459</v>
      </c>
    </row>
    <row r="18" spans="1:9" x14ac:dyDescent="0.3">
      <c r="A18" t="s">
        <v>57</v>
      </c>
      <c r="B18" s="5" t="s">
        <v>460</v>
      </c>
      <c r="C18" s="5" t="s">
        <v>461</v>
      </c>
      <c r="D18" s="5" t="s">
        <v>462</v>
      </c>
      <c r="E18" s="13" t="s">
        <v>134</v>
      </c>
      <c r="F18" s="14">
        <v>6</v>
      </c>
      <c r="G18" s="5" t="s">
        <v>450</v>
      </c>
      <c r="H18" s="5" t="s">
        <v>456</v>
      </c>
      <c r="I18" s="5" t="s">
        <v>463</v>
      </c>
    </row>
    <row r="19" spans="1:9" x14ac:dyDescent="0.3">
      <c r="A19" t="s">
        <v>57</v>
      </c>
      <c r="B19" s="5" t="s">
        <v>464</v>
      </c>
      <c r="C19" s="5" t="s">
        <v>465</v>
      </c>
      <c r="D19" s="5" t="s">
        <v>466</v>
      </c>
      <c r="E19" s="15" t="s">
        <v>166</v>
      </c>
      <c r="F19" s="14">
        <v>4</v>
      </c>
      <c r="G19" s="5" t="s">
        <v>450</v>
      </c>
      <c r="H19" s="5" t="s">
        <v>460</v>
      </c>
      <c r="I19" s="5" t="s">
        <v>467</v>
      </c>
    </row>
    <row r="20" spans="1:9" x14ac:dyDescent="0.3">
      <c r="A20" t="s">
        <v>57</v>
      </c>
      <c r="B20" s="5" t="s">
        <v>468</v>
      </c>
      <c r="C20" s="5" t="s">
        <v>469</v>
      </c>
      <c r="D20" s="5" t="s">
        <v>470</v>
      </c>
      <c r="E20" s="13" t="s">
        <v>134</v>
      </c>
      <c r="F20" s="14">
        <v>5</v>
      </c>
      <c r="G20" s="5" t="s">
        <v>450</v>
      </c>
      <c r="H20" s="5" t="s">
        <v>464</v>
      </c>
      <c r="I20" s="5" t="s">
        <v>471</v>
      </c>
    </row>
    <row r="21" spans="1:9" x14ac:dyDescent="0.3">
      <c r="A21" t="s">
        <v>57</v>
      </c>
      <c r="B21" s="5" t="s">
        <v>472</v>
      </c>
      <c r="C21" s="5" t="s">
        <v>473</v>
      </c>
      <c r="D21" s="5" t="s">
        <v>474</v>
      </c>
      <c r="E21" s="13" t="s">
        <v>134</v>
      </c>
      <c r="F21" s="14">
        <v>4</v>
      </c>
      <c r="G21" s="5" t="s">
        <v>450</v>
      </c>
      <c r="H21" s="5" t="s">
        <v>468</v>
      </c>
      <c r="I21" s="5" t="s">
        <v>475</v>
      </c>
    </row>
    <row r="22" spans="1:9" x14ac:dyDescent="0.3">
      <c r="A22" t="s">
        <v>57</v>
      </c>
      <c r="B22" s="5" t="s">
        <v>476</v>
      </c>
      <c r="C22" s="5" t="s">
        <v>477</v>
      </c>
      <c r="D22" s="5" t="s">
        <v>478</v>
      </c>
      <c r="E22" s="15" t="s">
        <v>166</v>
      </c>
      <c r="F22" s="14">
        <v>4</v>
      </c>
      <c r="G22" s="5" t="s">
        <v>450</v>
      </c>
      <c r="H22" s="5" t="s">
        <v>464</v>
      </c>
      <c r="I22" s="5" t="s">
        <v>479</v>
      </c>
    </row>
    <row r="23" spans="1:9" x14ac:dyDescent="0.3">
      <c r="A23" t="s">
        <v>57</v>
      </c>
      <c r="B23" s="5" t="s">
        <v>480</v>
      </c>
      <c r="C23" s="5" t="s">
        <v>481</v>
      </c>
      <c r="D23" s="5" t="s">
        <v>482</v>
      </c>
      <c r="E23" s="15" t="s">
        <v>166</v>
      </c>
      <c r="F23" s="14">
        <v>4</v>
      </c>
      <c r="G23" s="5" t="s">
        <v>450</v>
      </c>
      <c r="H23" s="5" t="s">
        <v>476</v>
      </c>
      <c r="I23" s="5" t="s">
        <v>483</v>
      </c>
    </row>
    <row r="24" spans="1:9" x14ac:dyDescent="0.3">
      <c r="A24" t="s">
        <v>57</v>
      </c>
      <c r="B24" s="5" t="s">
        <v>484</v>
      </c>
      <c r="C24" s="5" t="s">
        <v>98</v>
      </c>
      <c r="D24" s="5" t="s">
        <v>485</v>
      </c>
      <c r="E24" s="13" t="s">
        <v>134</v>
      </c>
      <c r="F24" s="14">
        <v>4</v>
      </c>
      <c r="G24" s="5" t="s">
        <v>486</v>
      </c>
      <c r="H24" s="5" t="s">
        <v>407</v>
      </c>
      <c r="I24" s="5" t="s">
        <v>487</v>
      </c>
    </row>
    <row r="25" spans="1:9" x14ac:dyDescent="0.3">
      <c r="A25" t="s">
        <v>57</v>
      </c>
      <c r="B25" s="5" t="s">
        <v>488</v>
      </c>
      <c r="C25" s="5" t="s">
        <v>489</v>
      </c>
      <c r="D25" s="5" t="s">
        <v>490</v>
      </c>
      <c r="E25" s="13" t="s">
        <v>134</v>
      </c>
      <c r="F25" s="14">
        <v>6</v>
      </c>
      <c r="G25" s="5" t="s">
        <v>486</v>
      </c>
      <c r="H25" s="5" t="s">
        <v>484</v>
      </c>
      <c r="I25" s="5" t="s">
        <v>491</v>
      </c>
    </row>
    <row r="26" spans="1:9" x14ac:dyDescent="0.3">
      <c r="A26" t="s">
        <v>57</v>
      </c>
      <c r="B26" s="5" t="s">
        <v>492</v>
      </c>
      <c r="C26" s="5" t="s">
        <v>493</v>
      </c>
      <c r="D26" s="5" t="s">
        <v>494</v>
      </c>
      <c r="E26" s="13" t="s">
        <v>134</v>
      </c>
      <c r="F26" s="14">
        <v>6</v>
      </c>
      <c r="G26" s="5" t="s">
        <v>486</v>
      </c>
      <c r="H26" s="5" t="s">
        <v>488</v>
      </c>
      <c r="I26" s="5" t="s">
        <v>495</v>
      </c>
    </row>
    <row r="27" spans="1:9" x14ac:dyDescent="0.3">
      <c r="A27" t="s">
        <v>57</v>
      </c>
      <c r="B27" s="5" t="s">
        <v>496</v>
      </c>
      <c r="C27" s="5" t="s">
        <v>497</v>
      </c>
      <c r="D27" s="5" t="s">
        <v>498</v>
      </c>
      <c r="E27" s="13" t="s">
        <v>134</v>
      </c>
      <c r="F27" s="14">
        <v>5</v>
      </c>
      <c r="G27" s="5" t="s">
        <v>486</v>
      </c>
      <c r="H27" s="5" t="s">
        <v>492</v>
      </c>
      <c r="I27" s="5" t="s">
        <v>499</v>
      </c>
    </row>
    <row r="28" spans="1:9" x14ac:dyDescent="0.3">
      <c r="A28" t="s">
        <v>57</v>
      </c>
      <c r="B28" s="5" t="s">
        <v>500</v>
      </c>
      <c r="C28" s="5" t="s">
        <v>501</v>
      </c>
      <c r="D28" s="5" t="s">
        <v>502</v>
      </c>
      <c r="E28" s="13" t="s">
        <v>134</v>
      </c>
      <c r="F28" s="14">
        <v>8</v>
      </c>
      <c r="G28" s="5" t="s">
        <v>486</v>
      </c>
      <c r="H28" s="5" t="s">
        <v>496</v>
      </c>
      <c r="I28" s="5" t="s">
        <v>503</v>
      </c>
    </row>
    <row r="29" spans="1:9" x14ac:dyDescent="0.3">
      <c r="A29" t="s">
        <v>57</v>
      </c>
      <c r="B29" s="5" t="s">
        <v>504</v>
      </c>
      <c r="C29" s="5" t="s">
        <v>505</v>
      </c>
      <c r="D29" s="5" t="s">
        <v>506</v>
      </c>
      <c r="E29" s="15" t="s">
        <v>166</v>
      </c>
      <c r="F29" s="14">
        <v>3</v>
      </c>
      <c r="G29" s="5" t="s">
        <v>486</v>
      </c>
      <c r="H29" s="5" t="s">
        <v>484</v>
      </c>
      <c r="I29" s="5" t="s">
        <v>507</v>
      </c>
    </row>
    <row r="30" spans="1:9" x14ac:dyDescent="0.3">
      <c r="A30" t="s">
        <v>57</v>
      </c>
      <c r="B30" s="5" t="s">
        <v>508</v>
      </c>
      <c r="C30" s="5" t="s">
        <v>509</v>
      </c>
      <c r="D30" s="5" t="s">
        <v>510</v>
      </c>
      <c r="E30" s="15" t="s">
        <v>166</v>
      </c>
      <c r="F30" s="14">
        <v>4</v>
      </c>
      <c r="G30" s="5" t="s">
        <v>486</v>
      </c>
      <c r="H30" s="5" t="s">
        <v>504</v>
      </c>
      <c r="I30" s="5" t="s">
        <v>511</v>
      </c>
    </row>
    <row r="31" spans="1:9" x14ac:dyDescent="0.3">
      <c r="A31" t="s">
        <v>57</v>
      </c>
      <c r="B31" s="5" t="s">
        <v>512</v>
      </c>
      <c r="C31" s="5" t="s">
        <v>513</v>
      </c>
      <c r="D31" s="5" t="s">
        <v>514</v>
      </c>
      <c r="E31" s="15" t="s">
        <v>166</v>
      </c>
      <c r="F31" s="14">
        <v>3</v>
      </c>
      <c r="G31" s="5" t="s">
        <v>486</v>
      </c>
      <c r="H31" s="5" t="s">
        <v>508</v>
      </c>
      <c r="I31" s="5" t="s">
        <v>515</v>
      </c>
    </row>
    <row r="32" spans="1:9" x14ac:dyDescent="0.3">
      <c r="A32" t="s">
        <v>57</v>
      </c>
      <c r="B32" s="5" t="s">
        <v>516</v>
      </c>
      <c r="C32" s="5" t="s">
        <v>517</v>
      </c>
      <c r="D32" s="5" t="s">
        <v>518</v>
      </c>
      <c r="E32" s="5" t="s">
        <v>229</v>
      </c>
      <c r="F32" s="14">
        <v>3</v>
      </c>
      <c r="G32" s="5" t="s">
        <v>486</v>
      </c>
      <c r="H32" s="5" t="s">
        <v>504</v>
      </c>
      <c r="I32" s="5" t="s">
        <v>360</v>
      </c>
    </row>
    <row r="33" spans="1:9" x14ac:dyDescent="0.3">
      <c r="A33" t="s">
        <v>57</v>
      </c>
      <c r="B33" s="5" t="s">
        <v>519</v>
      </c>
      <c r="C33" s="5" t="s">
        <v>520</v>
      </c>
      <c r="D33" s="5" t="s">
        <v>521</v>
      </c>
      <c r="E33" s="15" t="s">
        <v>166</v>
      </c>
      <c r="F33" s="14">
        <v>3</v>
      </c>
      <c r="G33" s="5" t="s">
        <v>522</v>
      </c>
      <c r="H33" s="5" t="s">
        <v>488</v>
      </c>
      <c r="I33" s="5" t="s">
        <v>523</v>
      </c>
    </row>
    <row r="34" spans="1:9" x14ac:dyDescent="0.3">
      <c r="A34" t="s">
        <v>57</v>
      </c>
      <c r="B34" s="5" t="s">
        <v>524</v>
      </c>
      <c r="C34" s="5" t="s">
        <v>525</v>
      </c>
      <c r="D34" s="5" t="s">
        <v>526</v>
      </c>
      <c r="E34" s="15" t="s">
        <v>166</v>
      </c>
      <c r="F34" s="14">
        <v>3</v>
      </c>
      <c r="G34" s="5" t="s">
        <v>522</v>
      </c>
      <c r="H34" s="5" t="s">
        <v>519</v>
      </c>
      <c r="I34" s="5" t="s">
        <v>527</v>
      </c>
    </row>
    <row r="35" spans="1:9" x14ac:dyDescent="0.3">
      <c r="A35" t="s">
        <v>57</v>
      </c>
      <c r="B35" s="5" t="s">
        <v>528</v>
      </c>
      <c r="C35" s="5" t="s">
        <v>529</v>
      </c>
      <c r="D35" s="5" t="s">
        <v>530</v>
      </c>
      <c r="E35" s="5" t="s">
        <v>229</v>
      </c>
      <c r="F35" s="14">
        <v>2</v>
      </c>
      <c r="G35" s="5" t="s">
        <v>522</v>
      </c>
      <c r="H35" s="5" t="s">
        <v>488</v>
      </c>
      <c r="I35" s="5" t="s">
        <v>531</v>
      </c>
    </row>
    <row r="36" spans="1:9" x14ac:dyDescent="0.3">
      <c r="A36" t="s">
        <v>57</v>
      </c>
      <c r="B36" s="5" t="s">
        <v>532</v>
      </c>
      <c r="C36" s="5" t="s">
        <v>533</v>
      </c>
      <c r="D36" s="5" t="s">
        <v>534</v>
      </c>
      <c r="E36" s="15" t="s">
        <v>166</v>
      </c>
      <c r="F36" s="14">
        <v>2</v>
      </c>
      <c r="G36" s="5" t="s">
        <v>522</v>
      </c>
      <c r="H36" s="5" t="s">
        <v>488</v>
      </c>
      <c r="I36" s="5" t="s">
        <v>535</v>
      </c>
    </row>
    <row r="37" spans="1:9" x14ac:dyDescent="0.3">
      <c r="A37" t="s">
        <v>57</v>
      </c>
      <c r="B37" s="5" t="s">
        <v>536</v>
      </c>
      <c r="C37" s="5" t="s">
        <v>537</v>
      </c>
      <c r="D37" s="5" t="s">
        <v>538</v>
      </c>
      <c r="E37" s="15" t="s">
        <v>166</v>
      </c>
      <c r="F37" s="14">
        <v>4</v>
      </c>
      <c r="G37" s="5" t="s">
        <v>522</v>
      </c>
      <c r="H37" s="5" t="s">
        <v>431</v>
      </c>
      <c r="I37" s="5" t="s">
        <v>539</v>
      </c>
    </row>
    <row r="38" spans="1:9" x14ac:dyDescent="0.3">
      <c r="A38" t="s">
        <v>57</v>
      </c>
      <c r="B38" s="5" t="s">
        <v>540</v>
      </c>
      <c r="C38" s="5" t="s">
        <v>541</v>
      </c>
      <c r="D38" s="5" t="s">
        <v>542</v>
      </c>
      <c r="E38" s="5" t="s">
        <v>229</v>
      </c>
      <c r="F38" s="14">
        <v>4</v>
      </c>
      <c r="G38" s="5" t="s">
        <v>522</v>
      </c>
      <c r="H38" s="5" t="s">
        <v>431</v>
      </c>
      <c r="I38" s="5" t="s">
        <v>543</v>
      </c>
    </row>
    <row r="39" spans="1:9" x14ac:dyDescent="0.3">
      <c r="A39" t="s">
        <v>57</v>
      </c>
      <c r="B39" s="5" t="s">
        <v>544</v>
      </c>
      <c r="C39" s="5" t="s">
        <v>545</v>
      </c>
      <c r="D39" s="5" t="s">
        <v>546</v>
      </c>
      <c r="E39" s="15" t="s">
        <v>166</v>
      </c>
      <c r="F39" s="14">
        <v>5</v>
      </c>
      <c r="G39" s="5" t="s">
        <v>522</v>
      </c>
      <c r="H39" s="5" t="s">
        <v>431</v>
      </c>
      <c r="I39" s="5" t="s">
        <v>547</v>
      </c>
    </row>
    <row r="40" spans="1:9" x14ac:dyDescent="0.3">
      <c r="A40" t="s">
        <v>57</v>
      </c>
      <c r="B40" s="5" t="s">
        <v>548</v>
      </c>
      <c r="C40" s="5" t="s">
        <v>549</v>
      </c>
      <c r="D40" s="5" t="s">
        <v>550</v>
      </c>
      <c r="E40" s="5" t="s">
        <v>229</v>
      </c>
      <c r="F40" s="14">
        <v>3</v>
      </c>
      <c r="G40" s="5" t="s">
        <v>522</v>
      </c>
      <c r="H40" s="5" t="s">
        <v>431</v>
      </c>
      <c r="I40" s="5" t="s">
        <v>543</v>
      </c>
    </row>
    <row r="41" spans="1:9" x14ac:dyDescent="0.3">
      <c r="A41" t="s">
        <v>57</v>
      </c>
      <c r="B41" s="5" t="s">
        <v>551</v>
      </c>
      <c r="C41" s="5" t="s">
        <v>552</v>
      </c>
      <c r="D41" s="5" t="s">
        <v>553</v>
      </c>
      <c r="E41" s="13" t="s">
        <v>134</v>
      </c>
      <c r="F41" s="14">
        <v>6</v>
      </c>
      <c r="G41" s="5" t="s">
        <v>522</v>
      </c>
      <c r="H41" s="5" t="s">
        <v>548</v>
      </c>
      <c r="I41" s="5" t="s">
        <v>554</v>
      </c>
    </row>
    <row r="42" spans="1:9" x14ac:dyDescent="0.3">
      <c r="A42" t="s">
        <v>57</v>
      </c>
      <c r="B42" s="5" t="s">
        <v>555</v>
      </c>
      <c r="C42" s="5" t="s">
        <v>556</v>
      </c>
      <c r="D42" s="5" t="s">
        <v>557</v>
      </c>
      <c r="E42" s="5" t="s">
        <v>229</v>
      </c>
      <c r="F42" s="14">
        <v>3</v>
      </c>
      <c r="G42" s="5" t="s">
        <v>522</v>
      </c>
      <c r="H42" s="5" t="s">
        <v>551</v>
      </c>
      <c r="I42" s="5" t="s">
        <v>558</v>
      </c>
    </row>
    <row r="43" spans="1:9" x14ac:dyDescent="0.3">
      <c r="A43" t="s">
        <v>57</v>
      </c>
      <c r="B43" s="5" t="s">
        <v>559</v>
      </c>
      <c r="C43" s="5" t="s">
        <v>560</v>
      </c>
      <c r="D43" s="5" t="s">
        <v>561</v>
      </c>
      <c r="E43" s="15" t="s">
        <v>166</v>
      </c>
      <c r="F43" s="14">
        <v>2</v>
      </c>
      <c r="G43" s="5" t="s">
        <v>522</v>
      </c>
      <c r="H43" s="5" t="s">
        <v>551</v>
      </c>
      <c r="I43" s="5" t="s">
        <v>562</v>
      </c>
    </row>
    <row r="44" spans="1:9" x14ac:dyDescent="0.3">
      <c r="A44" t="s">
        <v>57</v>
      </c>
      <c r="B44" s="5" t="s">
        <v>563</v>
      </c>
      <c r="C44" s="5" t="s">
        <v>382</v>
      </c>
      <c r="D44" s="5" t="s">
        <v>564</v>
      </c>
      <c r="E44" s="15" t="s">
        <v>166</v>
      </c>
      <c r="F44" s="14">
        <v>2</v>
      </c>
      <c r="G44" s="5" t="s">
        <v>522</v>
      </c>
      <c r="H44" s="5" t="s">
        <v>559</v>
      </c>
      <c r="I44" s="5" t="s">
        <v>565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9"/>
  <sheetViews>
    <sheetView topLeftCell="A13" workbookViewId="0"/>
  </sheetViews>
  <sheetFormatPr defaultRowHeight="14.4" x14ac:dyDescent="0.3"/>
  <cols>
    <col min="1" max="1" width="5" customWidth="1"/>
    <col min="2" max="2" width="10" customWidth="1"/>
    <col min="3" max="3" width="25" customWidth="1"/>
    <col min="4" max="4" width="40" customWidth="1"/>
    <col min="5" max="5" width="10" customWidth="1"/>
    <col min="6" max="7" width="8" customWidth="1"/>
    <col min="8" max="8" width="15" customWidth="1"/>
    <col min="9" max="9" width="30" customWidth="1"/>
  </cols>
  <sheetData>
    <row r="1" spans="1:9" ht="18" x14ac:dyDescent="0.35">
      <c r="A1" s="2" t="s">
        <v>566</v>
      </c>
    </row>
    <row r="2" spans="1:9" x14ac:dyDescent="0.3">
      <c r="A2" t="s">
        <v>567</v>
      </c>
    </row>
    <row r="4" spans="1:9" x14ac:dyDescent="0.3">
      <c r="A4" s="6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48</v>
      </c>
      <c r="H4" s="6" t="s">
        <v>129</v>
      </c>
      <c r="I4" s="6" t="s">
        <v>130</v>
      </c>
    </row>
    <row r="5" spans="1:9" x14ac:dyDescent="0.3">
      <c r="A5" t="s">
        <v>57</v>
      </c>
      <c r="B5" s="5" t="s">
        <v>568</v>
      </c>
      <c r="C5" s="5" t="s">
        <v>569</v>
      </c>
      <c r="D5" s="5" t="s">
        <v>570</v>
      </c>
      <c r="E5" s="13" t="s">
        <v>134</v>
      </c>
      <c r="F5" s="14">
        <v>8</v>
      </c>
      <c r="G5" s="5" t="s">
        <v>571</v>
      </c>
      <c r="H5" s="5" t="s">
        <v>401</v>
      </c>
      <c r="I5" s="5" t="s">
        <v>572</v>
      </c>
    </row>
    <row r="6" spans="1:9" x14ac:dyDescent="0.3">
      <c r="A6" t="s">
        <v>57</v>
      </c>
      <c r="B6" s="5" t="s">
        <v>573</v>
      </c>
      <c r="C6" s="5" t="s">
        <v>574</v>
      </c>
      <c r="D6" s="5" t="s">
        <v>575</v>
      </c>
      <c r="E6" s="13" t="s">
        <v>134</v>
      </c>
      <c r="F6" s="14">
        <v>6</v>
      </c>
      <c r="G6" s="5" t="s">
        <v>571</v>
      </c>
      <c r="H6" s="5" t="s">
        <v>563</v>
      </c>
      <c r="I6" s="5" t="s">
        <v>576</v>
      </c>
    </row>
    <row r="7" spans="1:9" x14ac:dyDescent="0.3">
      <c r="A7" t="s">
        <v>57</v>
      </c>
      <c r="B7" s="5" t="s">
        <v>577</v>
      </c>
      <c r="C7" s="5" t="s">
        <v>398</v>
      </c>
      <c r="D7" s="5" t="s">
        <v>578</v>
      </c>
      <c r="E7" s="13" t="s">
        <v>134</v>
      </c>
      <c r="F7" s="14">
        <v>6</v>
      </c>
      <c r="G7" s="5" t="s">
        <v>571</v>
      </c>
      <c r="H7" s="5" t="s">
        <v>568</v>
      </c>
      <c r="I7" s="5" t="s">
        <v>579</v>
      </c>
    </row>
    <row r="8" spans="1:9" x14ac:dyDescent="0.3">
      <c r="A8" t="s">
        <v>57</v>
      </c>
      <c r="B8" s="5" t="s">
        <v>580</v>
      </c>
      <c r="C8" s="5" t="s">
        <v>581</v>
      </c>
      <c r="D8" s="5" t="s">
        <v>582</v>
      </c>
      <c r="E8" s="13" t="s">
        <v>134</v>
      </c>
      <c r="F8" s="14">
        <v>8</v>
      </c>
      <c r="G8" s="5" t="s">
        <v>571</v>
      </c>
      <c r="H8" s="5" t="s">
        <v>577</v>
      </c>
      <c r="I8" s="5" t="s">
        <v>583</v>
      </c>
    </row>
    <row r="9" spans="1:9" x14ac:dyDescent="0.3">
      <c r="A9" t="s">
        <v>57</v>
      </c>
      <c r="B9" s="5" t="s">
        <v>584</v>
      </c>
      <c r="C9" s="5" t="s">
        <v>585</v>
      </c>
      <c r="D9" s="5" t="s">
        <v>586</v>
      </c>
      <c r="E9" s="13" t="s">
        <v>134</v>
      </c>
      <c r="F9" s="14">
        <v>8</v>
      </c>
      <c r="G9" s="5" t="s">
        <v>571</v>
      </c>
      <c r="H9" s="5" t="s">
        <v>580</v>
      </c>
      <c r="I9" s="5" t="s">
        <v>587</v>
      </c>
    </row>
    <row r="10" spans="1:9" x14ac:dyDescent="0.3">
      <c r="A10" t="s">
        <v>57</v>
      </c>
      <c r="B10" s="5" t="s">
        <v>588</v>
      </c>
      <c r="C10" s="5" t="s">
        <v>589</v>
      </c>
      <c r="D10" s="5" t="s">
        <v>590</v>
      </c>
      <c r="E10" s="13" t="s">
        <v>134</v>
      </c>
      <c r="F10" s="14">
        <v>2</v>
      </c>
      <c r="G10" s="5" t="s">
        <v>571</v>
      </c>
      <c r="H10" s="5" t="s">
        <v>584</v>
      </c>
      <c r="I10" s="5" t="s">
        <v>591</v>
      </c>
    </row>
    <row r="11" spans="1:9" x14ac:dyDescent="0.3">
      <c r="A11" t="s">
        <v>57</v>
      </c>
      <c r="B11" s="5" t="s">
        <v>592</v>
      </c>
      <c r="C11" s="5" t="s">
        <v>593</v>
      </c>
      <c r="D11" s="5" t="s">
        <v>594</v>
      </c>
      <c r="E11" s="13" t="s">
        <v>134</v>
      </c>
      <c r="F11" s="14">
        <v>10</v>
      </c>
      <c r="G11" s="5" t="s">
        <v>571</v>
      </c>
      <c r="H11" s="5" t="s">
        <v>588</v>
      </c>
      <c r="I11" s="5" t="s">
        <v>595</v>
      </c>
    </row>
    <row r="12" spans="1:9" x14ac:dyDescent="0.3">
      <c r="A12" t="s">
        <v>57</v>
      </c>
      <c r="B12" s="5" t="s">
        <v>596</v>
      </c>
      <c r="C12" s="5" t="s">
        <v>597</v>
      </c>
      <c r="D12" s="5" t="s">
        <v>598</v>
      </c>
      <c r="E12" s="13" t="s">
        <v>134</v>
      </c>
      <c r="F12" s="14">
        <v>4</v>
      </c>
      <c r="G12" s="5" t="s">
        <v>599</v>
      </c>
      <c r="H12" s="5" t="s">
        <v>592</v>
      </c>
      <c r="I12" s="5" t="s">
        <v>600</v>
      </c>
    </row>
    <row r="13" spans="1:9" x14ac:dyDescent="0.3">
      <c r="A13" t="s">
        <v>57</v>
      </c>
      <c r="B13" s="5" t="s">
        <v>601</v>
      </c>
      <c r="C13" s="5" t="s">
        <v>602</v>
      </c>
      <c r="D13" s="5" t="s">
        <v>603</v>
      </c>
      <c r="E13" s="13" t="s">
        <v>134</v>
      </c>
      <c r="F13" s="14">
        <v>4</v>
      </c>
      <c r="G13" s="5" t="s">
        <v>599</v>
      </c>
      <c r="H13" s="5" t="s">
        <v>596</v>
      </c>
      <c r="I13" s="5" t="s">
        <v>604</v>
      </c>
    </row>
    <row r="14" spans="1:9" x14ac:dyDescent="0.3">
      <c r="A14" t="s">
        <v>57</v>
      </c>
      <c r="B14" s="5" t="s">
        <v>605</v>
      </c>
      <c r="C14" s="5" t="s">
        <v>606</v>
      </c>
      <c r="D14" s="5" t="s">
        <v>607</v>
      </c>
      <c r="E14" s="13" t="s">
        <v>134</v>
      </c>
      <c r="F14" s="14">
        <v>4</v>
      </c>
      <c r="G14" s="5" t="s">
        <v>599</v>
      </c>
      <c r="H14" s="5" t="s">
        <v>601</v>
      </c>
      <c r="I14" s="5" t="s">
        <v>608</v>
      </c>
    </row>
    <row r="15" spans="1:9" x14ac:dyDescent="0.3">
      <c r="A15" t="s">
        <v>57</v>
      </c>
      <c r="B15" s="5" t="s">
        <v>609</v>
      </c>
      <c r="C15" s="5" t="s">
        <v>610</v>
      </c>
      <c r="D15" s="5" t="s">
        <v>611</v>
      </c>
      <c r="E15" s="15" t="s">
        <v>166</v>
      </c>
      <c r="F15" s="14">
        <v>3</v>
      </c>
      <c r="G15" s="5" t="s">
        <v>599</v>
      </c>
      <c r="H15" s="5" t="s">
        <v>605</v>
      </c>
      <c r="I15" s="5" t="s">
        <v>612</v>
      </c>
    </row>
    <row r="16" spans="1:9" x14ac:dyDescent="0.3">
      <c r="A16" t="s">
        <v>57</v>
      </c>
      <c r="B16" s="5" t="s">
        <v>613</v>
      </c>
      <c r="C16" s="5" t="s">
        <v>614</v>
      </c>
      <c r="D16" s="5" t="s">
        <v>615</v>
      </c>
      <c r="E16" s="15" t="s">
        <v>166</v>
      </c>
      <c r="F16" s="14">
        <v>3</v>
      </c>
      <c r="G16" s="5" t="s">
        <v>599</v>
      </c>
      <c r="H16" s="5" t="s">
        <v>609</v>
      </c>
      <c r="I16" s="5" t="s">
        <v>616</v>
      </c>
    </row>
    <row r="17" spans="1:9" x14ac:dyDescent="0.3">
      <c r="A17" t="s">
        <v>57</v>
      </c>
      <c r="B17" s="5" t="s">
        <v>617</v>
      </c>
      <c r="C17" s="5" t="s">
        <v>618</v>
      </c>
      <c r="D17" s="5" t="s">
        <v>619</v>
      </c>
      <c r="E17" s="13" t="s">
        <v>134</v>
      </c>
      <c r="F17" s="14">
        <v>6</v>
      </c>
      <c r="G17" s="5" t="s">
        <v>599</v>
      </c>
      <c r="H17" s="5" t="s">
        <v>613</v>
      </c>
      <c r="I17" s="5" t="s">
        <v>620</v>
      </c>
    </row>
    <row r="18" spans="1:9" x14ac:dyDescent="0.3">
      <c r="A18" t="s">
        <v>57</v>
      </c>
      <c r="B18" s="5" t="s">
        <v>621</v>
      </c>
      <c r="C18" s="5" t="s">
        <v>622</v>
      </c>
      <c r="D18" s="5" t="s">
        <v>623</v>
      </c>
      <c r="E18" s="13" t="s">
        <v>134</v>
      </c>
      <c r="F18" s="14">
        <v>8</v>
      </c>
      <c r="G18" s="5" t="s">
        <v>599</v>
      </c>
      <c r="H18" s="5" t="s">
        <v>617</v>
      </c>
      <c r="I18" s="5" t="s">
        <v>624</v>
      </c>
    </row>
    <row r="19" spans="1:9" x14ac:dyDescent="0.3">
      <c r="A19" t="s">
        <v>57</v>
      </c>
      <c r="B19" s="5" t="s">
        <v>625</v>
      </c>
      <c r="C19" s="5" t="s">
        <v>626</v>
      </c>
      <c r="D19" s="5" t="s">
        <v>627</v>
      </c>
      <c r="E19" s="13" t="s">
        <v>134</v>
      </c>
      <c r="F19" s="14">
        <v>4</v>
      </c>
      <c r="G19" s="5" t="s">
        <v>599</v>
      </c>
      <c r="H19" s="5" t="s">
        <v>621</v>
      </c>
      <c r="I19" s="5" t="s">
        <v>628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I24"/>
  <sheetViews>
    <sheetView workbookViewId="0"/>
  </sheetViews>
  <sheetFormatPr defaultRowHeight="14.4" x14ac:dyDescent="0.3"/>
  <cols>
    <col min="1" max="1" width="5" customWidth="1"/>
    <col min="2" max="2" width="10" customWidth="1"/>
    <col min="3" max="3" width="25" customWidth="1"/>
    <col min="4" max="4" width="40" customWidth="1"/>
    <col min="5" max="5" width="10" customWidth="1"/>
    <col min="6" max="7" width="8" customWidth="1"/>
    <col min="8" max="8" width="15" customWidth="1"/>
    <col min="9" max="9" width="30" customWidth="1"/>
  </cols>
  <sheetData>
    <row r="1" spans="1:9" ht="18" x14ac:dyDescent="0.35">
      <c r="A1" s="2" t="s">
        <v>629</v>
      </c>
    </row>
    <row r="2" spans="1:9" x14ac:dyDescent="0.3">
      <c r="A2" t="s">
        <v>567</v>
      </c>
    </row>
    <row r="4" spans="1:9" x14ac:dyDescent="0.3">
      <c r="A4" s="6" t="s">
        <v>123</v>
      </c>
      <c r="B4" s="6" t="s">
        <v>124</v>
      </c>
      <c r="C4" s="6" t="s">
        <v>125</v>
      </c>
      <c r="D4" s="6" t="s">
        <v>126</v>
      </c>
      <c r="E4" s="6" t="s">
        <v>127</v>
      </c>
      <c r="F4" s="6" t="s">
        <v>128</v>
      </c>
      <c r="G4" s="6" t="s">
        <v>48</v>
      </c>
      <c r="H4" s="6" t="s">
        <v>129</v>
      </c>
      <c r="I4" s="6" t="s">
        <v>130</v>
      </c>
    </row>
    <row r="5" spans="1:9" x14ac:dyDescent="0.3">
      <c r="A5" t="s">
        <v>57</v>
      </c>
      <c r="B5" s="5" t="s">
        <v>630</v>
      </c>
      <c r="C5" s="5" t="s">
        <v>631</v>
      </c>
      <c r="D5" s="5" t="s">
        <v>632</v>
      </c>
      <c r="E5" s="13" t="s">
        <v>134</v>
      </c>
      <c r="F5" s="14">
        <v>4</v>
      </c>
      <c r="G5" s="5" t="s">
        <v>633</v>
      </c>
      <c r="H5" s="5" t="s">
        <v>625</v>
      </c>
      <c r="I5" s="5" t="s">
        <v>634</v>
      </c>
    </row>
    <row r="6" spans="1:9" x14ac:dyDescent="0.3">
      <c r="A6" t="s">
        <v>57</v>
      </c>
      <c r="B6" s="5" t="s">
        <v>635</v>
      </c>
      <c r="C6" s="5" t="s">
        <v>636</v>
      </c>
      <c r="D6" s="5" t="s">
        <v>637</v>
      </c>
      <c r="E6" s="13" t="s">
        <v>134</v>
      </c>
      <c r="F6" s="14">
        <v>3</v>
      </c>
      <c r="G6" s="5" t="s">
        <v>633</v>
      </c>
      <c r="H6" s="5" t="s">
        <v>630</v>
      </c>
      <c r="I6" s="5" t="s">
        <v>638</v>
      </c>
    </row>
    <row r="7" spans="1:9" x14ac:dyDescent="0.3">
      <c r="A7" t="s">
        <v>57</v>
      </c>
      <c r="B7" s="5" t="s">
        <v>639</v>
      </c>
      <c r="C7" s="5" t="s">
        <v>640</v>
      </c>
      <c r="D7" s="5" t="s">
        <v>641</v>
      </c>
      <c r="E7" s="13" t="s">
        <v>134</v>
      </c>
      <c r="F7" s="14">
        <v>2</v>
      </c>
      <c r="G7" s="5" t="s">
        <v>633</v>
      </c>
      <c r="H7" s="5" t="s">
        <v>635</v>
      </c>
      <c r="I7" s="5" t="s">
        <v>642</v>
      </c>
    </row>
    <row r="8" spans="1:9" x14ac:dyDescent="0.3">
      <c r="A8" t="s">
        <v>57</v>
      </c>
      <c r="B8" s="5" t="s">
        <v>643</v>
      </c>
      <c r="C8" s="5" t="s">
        <v>644</v>
      </c>
      <c r="D8" s="5" t="s">
        <v>645</v>
      </c>
      <c r="E8" s="13" t="s">
        <v>134</v>
      </c>
      <c r="F8" s="14">
        <v>2</v>
      </c>
      <c r="G8" s="5" t="s">
        <v>633</v>
      </c>
      <c r="H8" s="5" t="s">
        <v>630</v>
      </c>
      <c r="I8" s="5" t="s">
        <v>646</v>
      </c>
    </row>
    <row r="9" spans="1:9" x14ac:dyDescent="0.3">
      <c r="A9" t="s">
        <v>57</v>
      </c>
      <c r="B9" s="5" t="s">
        <v>647</v>
      </c>
      <c r="C9" s="5" t="s">
        <v>648</v>
      </c>
      <c r="D9" s="5" t="s">
        <v>649</v>
      </c>
      <c r="E9" s="13" t="s">
        <v>134</v>
      </c>
      <c r="F9" s="14">
        <v>2</v>
      </c>
      <c r="G9" s="5" t="s">
        <v>633</v>
      </c>
      <c r="H9" s="5" t="s">
        <v>643</v>
      </c>
      <c r="I9" s="5" t="s">
        <v>650</v>
      </c>
    </row>
    <row r="10" spans="1:9" x14ac:dyDescent="0.3">
      <c r="A10" t="s">
        <v>57</v>
      </c>
      <c r="B10" s="5" t="s">
        <v>651</v>
      </c>
      <c r="C10" s="5" t="s">
        <v>652</v>
      </c>
      <c r="D10" s="5" t="s">
        <v>653</v>
      </c>
      <c r="E10" s="15" t="s">
        <v>166</v>
      </c>
      <c r="F10" s="14">
        <v>4</v>
      </c>
      <c r="G10" s="5" t="s">
        <v>633</v>
      </c>
      <c r="H10" s="5" t="s">
        <v>630</v>
      </c>
      <c r="I10" s="5" t="s">
        <v>654</v>
      </c>
    </row>
    <row r="11" spans="1:9" x14ac:dyDescent="0.3">
      <c r="A11" t="s">
        <v>57</v>
      </c>
      <c r="B11" s="5" t="s">
        <v>655</v>
      </c>
      <c r="C11" s="5" t="s">
        <v>177</v>
      </c>
      <c r="D11" s="5" t="s">
        <v>656</v>
      </c>
      <c r="E11" s="13" t="s">
        <v>134</v>
      </c>
      <c r="F11" s="14">
        <v>2</v>
      </c>
      <c r="G11" s="5" t="s">
        <v>633</v>
      </c>
      <c r="H11" s="5" t="s">
        <v>635</v>
      </c>
      <c r="I11" s="5" t="s">
        <v>657</v>
      </c>
    </row>
    <row r="12" spans="1:9" x14ac:dyDescent="0.3">
      <c r="A12" t="s">
        <v>57</v>
      </c>
      <c r="B12" s="5" t="s">
        <v>658</v>
      </c>
      <c r="C12" s="5" t="s">
        <v>659</v>
      </c>
      <c r="D12" s="5" t="s">
        <v>660</v>
      </c>
      <c r="E12" s="13" t="s">
        <v>134</v>
      </c>
      <c r="F12" s="14">
        <v>3</v>
      </c>
      <c r="G12" s="5" t="s">
        <v>633</v>
      </c>
      <c r="H12" s="5" t="s">
        <v>630</v>
      </c>
      <c r="I12" s="5" t="s">
        <v>661</v>
      </c>
    </row>
    <row r="13" spans="1:9" x14ac:dyDescent="0.3">
      <c r="A13" t="s">
        <v>57</v>
      </c>
      <c r="B13" s="5" t="s">
        <v>662</v>
      </c>
      <c r="C13" s="5" t="s">
        <v>386</v>
      </c>
      <c r="D13" s="5" t="s">
        <v>663</v>
      </c>
      <c r="E13" s="15" t="s">
        <v>166</v>
      </c>
      <c r="F13" s="14">
        <v>2</v>
      </c>
      <c r="G13" s="5" t="s">
        <v>633</v>
      </c>
      <c r="H13" s="5" t="s">
        <v>658</v>
      </c>
      <c r="I13" s="5" t="s">
        <v>664</v>
      </c>
    </row>
    <row r="14" spans="1:9" x14ac:dyDescent="0.3">
      <c r="A14" t="s">
        <v>57</v>
      </c>
      <c r="B14" s="5" t="s">
        <v>665</v>
      </c>
      <c r="C14" s="5" t="s">
        <v>666</v>
      </c>
      <c r="D14" s="5" t="s">
        <v>667</v>
      </c>
      <c r="E14" s="13" t="s">
        <v>134</v>
      </c>
      <c r="F14" s="14">
        <v>8</v>
      </c>
      <c r="G14" s="5" t="s">
        <v>633</v>
      </c>
      <c r="H14" s="5" t="s">
        <v>625</v>
      </c>
      <c r="I14" s="5" t="s">
        <v>668</v>
      </c>
    </row>
    <row r="15" spans="1:9" x14ac:dyDescent="0.3">
      <c r="A15" t="s">
        <v>57</v>
      </c>
      <c r="B15" s="5" t="s">
        <v>669</v>
      </c>
      <c r="C15" s="5" t="s">
        <v>670</v>
      </c>
      <c r="D15" s="5" t="s">
        <v>671</v>
      </c>
      <c r="E15" s="13" t="s">
        <v>134</v>
      </c>
      <c r="F15" s="14">
        <v>2</v>
      </c>
      <c r="G15" s="5" t="s">
        <v>672</v>
      </c>
      <c r="H15" s="5" t="s">
        <v>665</v>
      </c>
      <c r="I15" s="5" t="s">
        <v>673</v>
      </c>
    </row>
    <row r="16" spans="1:9" x14ac:dyDescent="0.3">
      <c r="A16" t="s">
        <v>57</v>
      </c>
      <c r="B16" s="5" t="s">
        <v>674</v>
      </c>
      <c r="C16" s="5" t="s">
        <v>675</v>
      </c>
      <c r="D16" s="5" t="s">
        <v>676</v>
      </c>
      <c r="E16" s="13" t="s">
        <v>134</v>
      </c>
      <c r="F16" s="14">
        <v>4</v>
      </c>
      <c r="G16" s="5" t="s">
        <v>672</v>
      </c>
      <c r="H16" s="5" t="s">
        <v>669</v>
      </c>
      <c r="I16" s="5" t="s">
        <v>677</v>
      </c>
    </row>
    <row r="17" spans="1:9" x14ac:dyDescent="0.3">
      <c r="A17" t="s">
        <v>57</v>
      </c>
      <c r="B17" s="5" t="s">
        <v>678</v>
      </c>
      <c r="C17" s="5" t="s">
        <v>679</v>
      </c>
      <c r="D17" s="5" t="s">
        <v>680</v>
      </c>
      <c r="E17" s="13" t="s">
        <v>134</v>
      </c>
      <c r="F17" s="14">
        <v>3</v>
      </c>
      <c r="G17" s="5" t="s">
        <v>672</v>
      </c>
      <c r="H17" s="5" t="s">
        <v>674</v>
      </c>
      <c r="I17" s="5" t="s">
        <v>681</v>
      </c>
    </row>
    <row r="18" spans="1:9" x14ac:dyDescent="0.3">
      <c r="A18" t="s">
        <v>57</v>
      </c>
      <c r="B18" s="5" t="s">
        <v>682</v>
      </c>
      <c r="C18" s="5" t="s">
        <v>683</v>
      </c>
      <c r="D18" s="5" t="s">
        <v>684</v>
      </c>
      <c r="E18" s="13" t="s">
        <v>134</v>
      </c>
      <c r="F18" s="14">
        <v>2</v>
      </c>
      <c r="G18" s="5" t="s">
        <v>672</v>
      </c>
      <c r="H18" s="5" t="s">
        <v>678</v>
      </c>
      <c r="I18" s="5" t="s">
        <v>685</v>
      </c>
    </row>
    <row r="19" spans="1:9" x14ac:dyDescent="0.3">
      <c r="A19" t="s">
        <v>57</v>
      </c>
      <c r="B19" s="5" t="s">
        <v>686</v>
      </c>
      <c r="C19" s="5" t="s">
        <v>687</v>
      </c>
      <c r="D19" s="5" t="s">
        <v>688</v>
      </c>
      <c r="E19" s="13" t="s">
        <v>134</v>
      </c>
      <c r="F19" s="14">
        <v>2</v>
      </c>
      <c r="G19" s="5" t="s">
        <v>672</v>
      </c>
      <c r="H19" s="5" t="s">
        <v>682</v>
      </c>
      <c r="I19" s="5" t="s">
        <v>689</v>
      </c>
    </row>
    <row r="20" spans="1:9" x14ac:dyDescent="0.3">
      <c r="A20" t="s">
        <v>57</v>
      </c>
      <c r="B20" s="5" t="s">
        <v>690</v>
      </c>
      <c r="C20" s="5" t="s">
        <v>691</v>
      </c>
      <c r="D20" s="5" t="s">
        <v>692</v>
      </c>
      <c r="E20" s="13" t="s">
        <v>134</v>
      </c>
      <c r="F20" s="14">
        <v>4</v>
      </c>
      <c r="G20" s="5" t="s">
        <v>672</v>
      </c>
      <c r="H20" s="5" t="s">
        <v>665</v>
      </c>
      <c r="I20" s="5" t="s">
        <v>693</v>
      </c>
    </row>
    <row r="21" spans="1:9" x14ac:dyDescent="0.3">
      <c r="A21" t="s">
        <v>57</v>
      </c>
      <c r="B21" s="5" t="s">
        <v>694</v>
      </c>
      <c r="C21" s="5" t="s">
        <v>695</v>
      </c>
      <c r="D21" s="5" t="s">
        <v>696</v>
      </c>
      <c r="E21" s="15" t="s">
        <v>166</v>
      </c>
      <c r="F21" s="14">
        <v>4</v>
      </c>
      <c r="G21" s="5" t="s">
        <v>672</v>
      </c>
      <c r="H21" s="5" t="s">
        <v>690</v>
      </c>
      <c r="I21" s="5" t="s">
        <v>697</v>
      </c>
    </row>
    <row r="22" spans="1:9" x14ac:dyDescent="0.3">
      <c r="A22" t="s">
        <v>57</v>
      </c>
      <c r="B22" s="5" t="s">
        <v>698</v>
      </c>
      <c r="C22" s="5" t="s">
        <v>699</v>
      </c>
      <c r="D22" s="5" t="s">
        <v>700</v>
      </c>
      <c r="E22" s="13" t="s">
        <v>134</v>
      </c>
      <c r="F22" s="14">
        <v>2</v>
      </c>
      <c r="G22" s="5" t="s">
        <v>672</v>
      </c>
      <c r="H22" s="5" t="s">
        <v>686</v>
      </c>
      <c r="I22" s="5" t="s">
        <v>701</v>
      </c>
    </row>
    <row r="23" spans="1:9" x14ac:dyDescent="0.3">
      <c r="A23" t="s">
        <v>57</v>
      </c>
      <c r="B23" s="5" t="s">
        <v>702</v>
      </c>
      <c r="C23" s="5" t="s">
        <v>703</v>
      </c>
      <c r="D23" s="5" t="s">
        <v>704</v>
      </c>
      <c r="E23" s="15" t="s">
        <v>166</v>
      </c>
      <c r="F23" s="14">
        <v>2</v>
      </c>
      <c r="G23" s="5" t="s">
        <v>672</v>
      </c>
      <c r="H23" s="5" t="s">
        <v>698</v>
      </c>
      <c r="I23" s="5" t="s">
        <v>705</v>
      </c>
    </row>
    <row r="24" spans="1:9" x14ac:dyDescent="0.3">
      <c r="A24" t="s">
        <v>57</v>
      </c>
      <c r="B24" s="5" t="s">
        <v>706</v>
      </c>
      <c r="C24" s="5" t="s">
        <v>707</v>
      </c>
      <c r="D24" s="5" t="s">
        <v>708</v>
      </c>
      <c r="E24" s="13" t="s">
        <v>134</v>
      </c>
      <c r="F24" s="14">
        <v>4</v>
      </c>
      <c r="G24" s="5" t="s">
        <v>672</v>
      </c>
      <c r="H24" s="5" t="s">
        <v>702</v>
      </c>
      <c r="I24" s="5" t="s">
        <v>709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E39"/>
  <sheetViews>
    <sheetView workbookViewId="0"/>
  </sheetViews>
  <sheetFormatPr defaultRowHeight="14.4" x14ac:dyDescent="0.3"/>
  <cols>
    <col min="1" max="1" width="30" customWidth="1"/>
    <col min="2" max="5" width="20" customWidth="1"/>
  </cols>
  <sheetData>
    <row r="1" spans="1:5" ht="18" x14ac:dyDescent="0.35">
      <c r="A1" s="2" t="s">
        <v>710</v>
      </c>
    </row>
    <row r="3" spans="1:5" ht="15.6" x14ac:dyDescent="0.3">
      <c r="A3" s="3" t="s">
        <v>711</v>
      </c>
    </row>
    <row r="4" spans="1:5" x14ac:dyDescent="0.3">
      <c r="A4" s="16" t="s">
        <v>712</v>
      </c>
      <c r="B4" s="16" t="s">
        <v>713</v>
      </c>
      <c r="C4" s="16" t="s">
        <v>714</v>
      </c>
      <c r="D4" s="16" t="s">
        <v>715</v>
      </c>
      <c r="E4" s="16" t="s">
        <v>716</v>
      </c>
    </row>
    <row r="5" spans="1:5" x14ac:dyDescent="0.3">
      <c r="A5" s="5" t="s">
        <v>717</v>
      </c>
      <c r="B5" s="5">
        <v>1</v>
      </c>
      <c r="C5" s="17">
        <v>30000000</v>
      </c>
      <c r="D5" s="17">
        <v>4</v>
      </c>
      <c r="E5" s="17">
        <f t="shared" ref="E5:E10" si="0">B5*C5*D5</f>
        <v>120000000</v>
      </c>
    </row>
    <row r="6" spans="1:5" x14ac:dyDescent="0.3">
      <c r="A6" s="5" t="s">
        <v>718</v>
      </c>
      <c r="B6" s="5">
        <v>2</v>
      </c>
      <c r="C6" s="17">
        <v>20000000</v>
      </c>
      <c r="D6" s="17">
        <v>4</v>
      </c>
      <c r="E6" s="17">
        <f t="shared" si="0"/>
        <v>160000000</v>
      </c>
    </row>
    <row r="7" spans="1:5" x14ac:dyDescent="0.3">
      <c r="A7" s="5" t="s">
        <v>719</v>
      </c>
      <c r="B7" s="5">
        <v>1</v>
      </c>
      <c r="C7" s="17">
        <v>15000000</v>
      </c>
      <c r="D7" s="17">
        <v>2</v>
      </c>
      <c r="E7" s="17">
        <f t="shared" si="0"/>
        <v>30000000</v>
      </c>
    </row>
    <row r="8" spans="1:5" x14ac:dyDescent="0.3">
      <c r="A8" s="5" t="s">
        <v>720</v>
      </c>
      <c r="B8" s="5">
        <v>1</v>
      </c>
      <c r="C8" s="17">
        <v>15000000</v>
      </c>
      <c r="D8" s="17">
        <v>1</v>
      </c>
      <c r="E8" s="17">
        <f t="shared" si="0"/>
        <v>15000000</v>
      </c>
    </row>
    <row r="9" spans="1:5" x14ac:dyDescent="0.3">
      <c r="A9" s="5" t="s">
        <v>721</v>
      </c>
      <c r="B9" s="5">
        <v>1</v>
      </c>
      <c r="C9" s="17">
        <v>25000000</v>
      </c>
      <c r="D9" s="17">
        <v>1</v>
      </c>
      <c r="E9" s="17">
        <f t="shared" si="0"/>
        <v>25000000</v>
      </c>
    </row>
    <row r="10" spans="1:5" x14ac:dyDescent="0.3">
      <c r="A10" s="5" t="s">
        <v>722</v>
      </c>
      <c r="B10" s="5">
        <v>1</v>
      </c>
      <c r="C10" s="17">
        <v>25000000</v>
      </c>
      <c r="D10" s="17">
        <v>4</v>
      </c>
      <c r="E10" s="17">
        <f t="shared" si="0"/>
        <v>100000000</v>
      </c>
    </row>
    <row r="11" spans="1:5" x14ac:dyDescent="0.3">
      <c r="A11" s="4"/>
      <c r="B11" s="4"/>
      <c r="C11" s="18"/>
      <c r="D11" s="18" t="s">
        <v>723</v>
      </c>
      <c r="E11" s="18">
        <f>SUM(E5:E10)</f>
        <v>450000000</v>
      </c>
    </row>
    <row r="13" spans="1:5" ht="15.6" x14ac:dyDescent="0.3">
      <c r="A13" s="3" t="s">
        <v>724</v>
      </c>
    </row>
    <row r="14" spans="1:5" x14ac:dyDescent="0.3">
      <c r="A14" s="16" t="s">
        <v>725</v>
      </c>
      <c r="B14" s="16" t="s">
        <v>726</v>
      </c>
      <c r="C14" s="16" t="s">
        <v>727</v>
      </c>
      <c r="D14" s="16" t="s">
        <v>715</v>
      </c>
      <c r="E14" s="16" t="s">
        <v>716</v>
      </c>
    </row>
    <row r="15" spans="1:5" x14ac:dyDescent="0.3">
      <c r="A15" s="5" t="s">
        <v>728</v>
      </c>
      <c r="B15" s="5" t="s">
        <v>729</v>
      </c>
      <c r="C15" s="17">
        <v>2000000</v>
      </c>
      <c r="D15" s="17">
        <v>4</v>
      </c>
      <c r="E15" s="17">
        <f t="shared" ref="E15:E22" si="1">C15*D15</f>
        <v>8000000</v>
      </c>
    </row>
    <row r="16" spans="1:5" x14ac:dyDescent="0.3">
      <c r="A16" s="5" t="s">
        <v>730</v>
      </c>
      <c r="B16" s="5" t="s">
        <v>731</v>
      </c>
      <c r="C16" s="17">
        <v>3000000</v>
      </c>
      <c r="D16" s="17">
        <v>4</v>
      </c>
      <c r="E16" s="17">
        <f t="shared" si="1"/>
        <v>12000000</v>
      </c>
    </row>
    <row r="17" spans="1:5" x14ac:dyDescent="0.3">
      <c r="A17" s="5" t="s">
        <v>732</v>
      </c>
      <c r="B17" s="5" t="s">
        <v>733</v>
      </c>
      <c r="C17" s="17">
        <v>500000</v>
      </c>
      <c r="D17" s="17">
        <v>4</v>
      </c>
      <c r="E17" s="17">
        <f t="shared" si="1"/>
        <v>2000000</v>
      </c>
    </row>
    <row r="18" spans="1:5" x14ac:dyDescent="0.3">
      <c r="A18" s="5" t="s">
        <v>734</v>
      </c>
      <c r="B18" s="5" t="s">
        <v>735</v>
      </c>
      <c r="C18" s="17">
        <v>500000</v>
      </c>
      <c r="D18" s="17">
        <v>4</v>
      </c>
      <c r="E18" s="17">
        <f t="shared" si="1"/>
        <v>2000000</v>
      </c>
    </row>
    <row r="19" spans="1:5" x14ac:dyDescent="0.3">
      <c r="A19" s="5" t="s">
        <v>312</v>
      </c>
      <c r="B19" s="5" t="s">
        <v>736</v>
      </c>
      <c r="C19" s="17">
        <v>500000</v>
      </c>
      <c r="D19" s="17">
        <v>4</v>
      </c>
      <c r="E19" s="17">
        <f t="shared" si="1"/>
        <v>2000000</v>
      </c>
    </row>
    <row r="20" spans="1:5" x14ac:dyDescent="0.3">
      <c r="A20" s="5" t="s">
        <v>354</v>
      </c>
      <c r="B20" s="5" t="s">
        <v>737</v>
      </c>
      <c r="C20" s="17">
        <v>1000000</v>
      </c>
      <c r="D20" s="17">
        <v>4</v>
      </c>
      <c r="E20" s="17">
        <f t="shared" si="1"/>
        <v>4000000</v>
      </c>
    </row>
    <row r="21" spans="1:5" x14ac:dyDescent="0.3">
      <c r="A21" s="5" t="s">
        <v>659</v>
      </c>
      <c r="B21" s="5" t="s">
        <v>738</v>
      </c>
      <c r="C21" s="17">
        <v>1000000</v>
      </c>
      <c r="D21" s="17">
        <v>4</v>
      </c>
      <c r="E21" s="17">
        <f t="shared" si="1"/>
        <v>4000000</v>
      </c>
    </row>
    <row r="22" spans="1:5" x14ac:dyDescent="0.3">
      <c r="A22" s="5" t="s">
        <v>739</v>
      </c>
      <c r="B22" s="5" t="s">
        <v>740</v>
      </c>
      <c r="C22" s="17">
        <v>500000</v>
      </c>
      <c r="D22" s="17">
        <v>1</v>
      </c>
      <c r="E22" s="17">
        <f t="shared" si="1"/>
        <v>500000</v>
      </c>
    </row>
    <row r="23" spans="1:5" x14ac:dyDescent="0.3">
      <c r="A23" s="4"/>
      <c r="B23" s="4"/>
      <c r="C23" s="18"/>
      <c r="D23" s="18" t="s">
        <v>723</v>
      </c>
      <c r="E23" s="18">
        <f>SUM(E15:E22)</f>
        <v>34500000</v>
      </c>
    </row>
    <row r="25" spans="1:5" ht="15.6" x14ac:dyDescent="0.3">
      <c r="A25" s="3" t="s">
        <v>741</v>
      </c>
    </row>
    <row r="26" spans="1:5" x14ac:dyDescent="0.3">
      <c r="A26" s="5" t="s">
        <v>725</v>
      </c>
      <c r="B26" s="5" t="s">
        <v>742</v>
      </c>
      <c r="C26" s="5"/>
    </row>
    <row r="27" spans="1:5" x14ac:dyDescent="0.3">
      <c r="A27" s="5" t="s">
        <v>743</v>
      </c>
      <c r="B27" s="17">
        <v>5000000</v>
      </c>
      <c r="C27" s="5"/>
    </row>
    <row r="28" spans="1:5" x14ac:dyDescent="0.3">
      <c r="A28" s="5" t="s">
        <v>744</v>
      </c>
      <c r="B28" s="17">
        <v>3000000</v>
      </c>
      <c r="C28" s="5"/>
    </row>
    <row r="29" spans="1:5" x14ac:dyDescent="0.3">
      <c r="A29" s="5" t="s">
        <v>745</v>
      </c>
      <c r="B29" s="17">
        <v>2000000</v>
      </c>
      <c r="C29" s="5"/>
    </row>
    <row r="30" spans="1:5" x14ac:dyDescent="0.3">
      <c r="A30" s="5" t="s">
        <v>746</v>
      </c>
      <c r="B30" s="17">
        <f>E11*0.1+E23*0.1</f>
        <v>48450000</v>
      </c>
      <c r="C30" s="5"/>
    </row>
    <row r="31" spans="1:5" x14ac:dyDescent="0.3">
      <c r="A31" s="4"/>
      <c r="B31" s="18" t="s">
        <v>723</v>
      </c>
      <c r="C31" s="4">
        <f>SUM(B27:B30)</f>
        <v>58450000</v>
      </c>
    </row>
    <row r="33" spans="1:3" ht="18" x14ac:dyDescent="0.35">
      <c r="A33" s="19" t="s">
        <v>747</v>
      </c>
      <c r="B33" s="20">
        <f>E11+E23+C31</f>
        <v>542950000</v>
      </c>
      <c r="C33" t="s">
        <v>748</v>
      </c>
    </row>
    <row r="35" spans="1:3" ht="18" x14ac:dyDescent="0.35">
      <c r="A35" s="21" t="s">
        <v>749</v>
      </c>
      <c r="B35" s="22">
        <v>500000000</v>
      </c>
      <c r="C35" t="s">
        <v>750</v>
      </c>
    </row>
    <row r="37" spans="1:3" ht="18" x14ac:dyDescent="0.35">
      <c r="A37" s="23" t="s">
        <v>751</v>
      </c>
      <c r="B37" s="24">
        <f>B35-B33</f>
        <v>-42950000</v>
      </c>
      <c r="C37" t="s">
        <v>748</v>
      </c>
    </row>
    <row r="39" spans="1:3" ht="18" x14ac:dyDescent="0.35">
      <c r="A39" s="2" t="s">
        <v>752</v>
      </c>
      <c r="B39" s="25">
        <f>(B37/B33)</f>
        <v>-7.9104889953034344E-2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📊 Overview</vt:lpstr>
      <vt:lpstr>Sheet1</vt:lpstr>
      <vt:lpstr>📅 Timeline</vt:lpstr>
      <vt:lpstr>🗄️ Phase 1 Database</vt:lpstr>
      <vt:lpstr>⚙️ Phase 2 Backend</vt:lpstr>
      <vt:lpstr>🎨 Phase 3 Frontend</vt:lpstr>
      <vt:lpstr>🧪 Phase 4 Testing</vt:lpstr>
      <vt:lpstr>🚀 Phase 5 Deployment</vt:lpstr>
      <vt:lpstr>💰 Resources &amp; Budget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truong thanh</cp:lastModifiedBy>
  <dcterms:created xsi:type="dcterms:W3CDTF">2025-11-18T01:07:30Z</dcterms:created>
  <dcterms:modified xsi:type="dcterms:W3CDTF">2025-11-23T06:01:55Z</dcterms:modified>
</cp:coreProperties>
</file>